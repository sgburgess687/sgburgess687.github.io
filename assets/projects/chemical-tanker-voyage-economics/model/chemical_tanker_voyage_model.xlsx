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Routes" sheetId="3" state="visible" r:id="rId5"/>
    <sheet name="Port_Tariffs" sheetId="4" state="visible" r:id="rId6"/>
    <sheet name="Canal_Tolls" sheetId="5" state="visible" r:id="rId7"/>
    <sheet name="Voyage_PnL" sheetId="6" state="visible" r:id="rId8"/>
    <sheet name="Sensitivity" sheetId="7" state="visible" r:id="rId9"/>
    <sheet name="Breakeven" sheetId="8" state="visible" r:id="rId10"/>
    <sheet name="Engine" sheetId="9" state="visible" r:id="rId11"/>
    <sheet name="Data_Brent" sheetId="10" state="visible" r:id="rId12"/>
    <sheet name="Data_PPI" sheetId="11" state="visible" r:id="rId13"/>
  </sheets>
  <definedNames>
    <definedName function="false" hidden="false" name="Benchmark" vbProcedure="false">Inputs!$B$51</definedName>
    <definedName function="false" hidden="false" name="Brent" vbProcedure="false">Inputs!$B$23</definedName>
    <definedName function="false" hidden="false" name="Brent_5Y" vbProcedure="false">Data_Brent!$E$9</definedName>
    <definedName function="false" hidden="false" name="Brent_Latest" vbProcedure="false">Data_Brent!$E$7</definedName>
    <definedName function="false" hidden="false" name="Brent_P10" vbProcedure="false">Data_Brent!$E$10</definedName>
    <definedName function="false" hidden="false" name="Brent_P90" vbProcedure="false">Data_Brent!$E$11</definedName>
    <definedName function="false" hidden="false" name="Brent_TTM" vbProcedure="false">Data_Brent!$E$8</definedName>
    <definedName function="false" hidden="false" name="Capacity" vbProcedure="false">Inputs!$B$32</definedName>
    <definedName function="false" hidden="false" name="CO2_MGO" vbProcedure="false">Inputs!$B$56</definedName>
    <definedName function="false" hidden="false" name="CO2_VLSFO" vbProcedure="false">Inputs!$B$55</definedName>
    <definedName function="false" hidden="false" name="Commission" vbProcedure="false">Inputs!$B$48</definedName>
    <definedName function="false" hidden="false" name="ConsBallast" vbProcedure="false">Inputs!$B$36</definedName>
    <definedName function="false" hidden="false" name="ConsLaden" vbProcedure="false">Inputs!$B$35</definedName>
    <definedName function="false" hidden="false" name="ConsPort" vbProcedure="false">Inputs!$B$37</definedName>
    <definedName function="false" hidden="false" name="Cust_Brent" vbProcedure="false">Inputs!$B$15</definedName>
    <definedName function="false" hidden="false" name="Cust_Freight" vbProcedure="false">Inputs!$B$16</definedName>
    <definedName function="false" hidden="false" name="Cust_Port" vbProcedure="false">Inputs!$B$17</definedName>
    <definedName function="false" hidden="false" name="Cust_UtilBH" vbProcedure="false">Inputs!$B$19</definedName>
    <definedName function="false" hidden="false" name="Cust_UtilFH" vbProcedure="false">Inputs!$B$18</definedName>
    <definedName function="false" hidden="false" name="DWT" vbProcedure="false">Inputs!$B$31</definedName>
    <definedName function="false" hidden="false" name="EUA" vbProcedure="false">Inputs!$B$52</definedName>
    <definedName function="false" hidden="false" name="FreightMult" vbProcedure="false">Inputs!$B$24</definedName>
    <definedName function="false" hidden="false" name="Freight_High" vbProcedure="false">Data_PPI!$F$10</definedName>
    <definedName function="false" hidden="false" name="Freight_Low" vbProcedure="false">Data_PPI!$F$9</definedName>
    <definedName function="false" hidden="false" name="FX" vbProcedure="false">Inputs!$B$53</definedName>
    <definedName function="false" hidden="false" name="GT" vbProcedure="false">Inputs!$B$60</definedName>
    <definedName function="false" hidden="false" name="HullValue" vbProcedure="false">Inputs!$B$42</definedName>
    <definedName function="false" hidden="false" name="Linehandlers" vbProcedure="false">Inputs!$B$70</definedName>
    <definedName function="false" hidden="false" name="LOA_ft" vbProcedure="false">Inputs!$B$61</definedName>
    <definedName function="false" hidden="false" name="MGO_Mult" vbProcedure="false">Inputs!$B$47</definedName>
    <definedName function="false" hidden="false" name="MiscVoy" vbProcedure="false">Inputs!$B$49</definedName>
    <definedName function="false" hidden="false" name="PCUMS" vbProcedure="false">Inputs!$B$40</definedName>
    <definedName function="false" hidden="false" name="PhaseIn" vbProcedure="false">Inputs!$B$54</definedName>
    <definedName function="false" hidden="false" name="PortCostMult" vbProcedure="false">Inputs!$B$50</definedName>
    <definedName function="false" hidden="false" name="PortMult" vbProcedure="false">Inputs!$B$25</definedName>
    <definedName function="false" hidden="false" name="RefSpeed" vbProcedure="false">Inputs!$B$34</definedName>
    <definedName function="false" hidden="false" name="SCNT" vbProcedure="false">Inputs!$B$41</definedName>
    <definedName function="false" hidden="false" name="SDR_USD" vbProcedure="false">Inputs!$B$65</definedName>
    <definedName function="false" hidden="false" name="SeaMargin" vbProcedure="false">Inputs!$B$39</definedName>
    <definedName function="false" hidden="false" name="Speed" vbProcedure="false">Inputs!$B$33</definedName>
    <definedName function="false" hidden="false" name="SpeedExp" vbProcedure="false">Inputs!$B$38</definedName>
    <definedName function="false" hidden="false" name="SuezAnc" vbProcedure="false">Inputs!$B$68</definedName>
    <definedName function="false" hidden="false" name="SuezSurB" vbProcedure="false">Inputs!$B$67</definedName>
    <definedName function="false" hidden="false" name="SuezSurL" vbProcedure="false">Inputs!$B$66</definedName>
    <definedName function="false" hidden="false" name="Sw_Bunker" vbProcedure="false">Inputs!$B$8</definedName>
    <definedName function="false" hidden="false" name="Sw_Freight" vbProcedure="false">Inputs!$B$9</definedName>
    <definedName function="false" hidden="false" name="Sw_Port" vbProcedure="false">Inputs!$B$10</definedName>
    <definedName function="false" hidden="false" name="Sw_Route" vbProcedure="false">Inputs!$B$7</definedName>
    <definedName function="false" hidden="false" name="Sw_Util" vbProcedure="false">Inputs!$B$11</definedName>
    <definedName function="false" hidden="false" name="UtilBH" vbProcedure="false">Inputs!$B$27</definedName>
    <definedName function="false" hidden="false" name="UtilFH" vbProcedure="false">Inputs!$B$26</definedName>
    <definedName function="false" hidden="false" name="VLSFO_Mult" vbProcedure="false">Inputs!$B$46</definedName>
    <definedName function="false" hidden="false" name="WarAP" vbProcedure="false">Inputs!$B$69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<sst xmlns="http://schemas.openxmlformats.org/spreadsheetml/2006/main" count="1051" uniqueCount="741">
  <si>
    <t xml:space="preserve">Chemical Tanker Voyage Economics Model</t>
  </si>
  <si>
    <t xml:space="preserve">Independent analysis using publicly available data. Not affiliated with or endorsed by any organization named.</t>
  </si>
  <si>
    <t xml:space="preserve">Round-voyage TCE P&amp;L, sensitivity/tornado, and break-even freight analysis — Sean Burgess, Sep-2026</t>
  </si>
  <si>
    <t xml:space="preserve">SIMULATED / ESTIMATED INPUTS: freight rates, port costs, port days, vessel particulars and fuel-price conversion factors are analyst assumptions, not observed data. Canal tolls come from published tariff extracts; Brent and the freight index are public series.</t>
  </si>
  <si>
    <t xml:space="preserve">HEADLINE — ACTIVE SCENARIO</t>
  </si>
  <si>
    <t xml:space="preserve">Route</t>
  </si>
  <si>
    <t xml:space="preserve">Round-voyage days</t>
  </si>
  <si>
    <t xml:space="preserve">Gross freight</t>
  </si>
  <si>
    <t xml:space="preserve">Total voyage costs</t>
  </si>
  <si>
    <t xml:space="preserve">TCE ($/day)</t>
  </si>
  <si>
    <t xml:space="preserve">Vessel cost benchmark ($/day)</t>
  </si>
  <si>
    <t xml:space="preserve">Voyage result after vessel cost</t>
  </si>
  <si>
    <t xml:space="preserve">Break-even fronthaul rate ($/t)</t>
  </si>
  <si>
    <t xml:space="preserve">Largest tornado driver</t>
  </si>
  <si>
    <t xml:space="preserve">Model integrity check</t>
  </si>
  <si>
    <t xml:space="preserve">HOW TO USE</t>
  </si>
  <si>
    <t xml:space="preserve">1. Go to Inputs and change the five yellow scenario switches (route, bunker case, freight case, congestion, utilization).</t>
  </si>
  <si>
    <t xml:space="preserve">2. Every assumption is a blue cell on Inputs / Routes / Canal_Tolls with its basis written next to it — overwrite any you disagree with.</t>
  </si>
  <si>
    <t xml:space="preserve">3. Voyage_PnL shows the full cost build-up and TCE for the active scenario, plus all four routes side by side.</t>
  </si>
  <si>
    <t xml:space="preserve">4. Sensitivity ranks the drivers (tornado) and shows leverage per +10% move; Breakeven shows break-even freight curves, a TCE heat-map and a speed curve.</t>
  </si>
  <si>
    <t xml:space="preserve">5. Engine is the row-wise calculator behind the charts: one full voyage P&amp;L per row. Do not edit it unless extending the model.</t>
  </si>
  <si>
    <t xml:space="preserve">COLOUR KEY</t>
  </si>
  <si>
    <t xml:space="preserve">Scenario switch</t>
  </si>
  <si>
    <t xml:space="preserve">Hardcoded input / assumption</t>
  </si>
  <si>
    <t xml:space="preserve">Key assumption</t>
  </si>
  <si>
    <t xml:space="preserve">Formula</t>
  </si>
  <si>
    <t xml:space="preserve">Link from another sheet</t>
  </si>
  <si>
    <t xml:space="preserve">Output</t>
  </si>
  <si>
    <t xml:space="preserve">DEFINITIONS</t>
  </si>
  <si>
    <t xml:space="preserve">TCE</t>
  </si>
  <si>
    <t xml:space="preserve">(Gross freight - commissions - voyage costs) / voyage days. Converts a voyage charter into a $/day figure comparable with time-charter hire.</t>
  </si>
  <si>
    <t xml:space="preserve">Voyage costs</t>
  </si>
  <si>
    <t xml:space="preserve">Costs the shipowner bears on a voyage charter: bunkers, port disbursements, canal tolls, EU ETS allowances, misc.</t>
  </si>
  <si>
    <t xml:space="preserve">Fronthaul / backhaul</t>
  </si>
  <si>
    <t xml:space="preserve">Round voyage A-&gt;B (main cargo) then B-&gt;A (return cargo at lower utilization and rate). Backhaul utilization 0% = ballast return.</t>
  </si>
  <si>
    <t xml:space="preserve">Break-even rate</t>
  </si>
  <si>
    <t xml:space="preserve">Fronthaul $/t at which TCE equals the daily vessel-cost benchmark.</t>
  </si>
  <si>
    <t xml:space="preserve">ECA</t>
  </si>
  <si>
    <t xml:space="preserve">Emission Control Area — 0.10% sulphur limit, so MGO is burned inside (North American ECA, North Sea/Channel).</t>
  </si>
  <si>
    <t xml:space="preserve">SHEETS</t>
  </si>
  <si>
    <t xml:space="preserve">Inputs — switches and assumptions</t>
  </si>
  <si>
    <t xml:space="preserve">Routes — route &amp; port-region tables</t>
  </si>
  <si>
    <t xml:space="preserve">Canal_Tolls — Panama &amp; Suez per-transit build-up</t>
  </si>
  <si>
    <t xml:space="preserve">Voyage_PnL — detailed TCE build-up + route comparison</t>
  </si>
  <si>
    <t xml:space="preserve">Sensitivity — tornado + leverage</t>
  </si>
  <si>
    <t xml:space="preserve">Breakeven — break-even curves, TCE grid, speed curve</t>
  </si>
  <si>
    <t xml:space="preserve">Engine — row-wise calculator</t>
  </si>
  <si>
    <t xml:space="preserve">Data_Brent — FRED Brent monthly + statistics</t>
  </si>
  <si>
    <t xml:space="preserve">Data_PPI — BLS deep-sea freight PPI + percentile bands</t>
  </si>
  <si>
    <t xml:space="preserve">Inputs &amp; scenario switches</t>
  </si>
  <si>
    <t xml:space="preserve">Yellow cells = scenario switches. Blue = hardcoded assumption (edit freely). Black = formula. Every assumption carries its basis in column D.</t>
  </si>
  <si>
    <t xml:space="preserve">SCENARIO SWITCHES</t>
  </si>
  <si>
    <t xml:space="preserve">Switch</t>
  </si>
  <si>
    <t xml:space="preserve">Selection</t>
  </si>
  <si>
    <t xml:space="preserve">Resolves to</t>
  </si>
  <si>
    <t xml:space="preserve">Options</t>
  </si>
  <si>
    <t xml:space="preserve">1. Route</t>
  </si>
  <si>
    <t xml:space="preserve">1 USG-ARA transatlantic | 2 USG-Far East via Panama | 3 ARA-India WC via Suez | 4 ARA-India WC via Cape</t>
  </si>
  <si>
    <t xml:space="preserve">2. Bunker price case</t>
  </si>
  <si>
    <t xml:space="preserve">1 Trailing-12m avg | 2 Latest month | 3 5-yr avg | 4 5-yr P10 | 5 5-yr P90 | 6 Custom (below)</t>
  </si>
  <si>
    <t xml:space="preserve">3. Freight market case</t>
  </si>
  <si>
    <t xml:space="preserve">1 Base rates | 2 Weak (PPI YoY P10) | 3 Strong (PPI YoY P90) | 4 Custom multiplier (below)</t>
  </si>
  <si>
    <t xml:space="preserve">4. Port congestion case</t>
  </si>
  <si>
    <t xml:space="preserve">1 Normal (1.0x port days) | 2 Congested (1.5x) | 3 Severe (2.0x) | 4 Custom (below)</t>
  </si>
  <si>
    <t xml:space="preserve">5. Cargo utilization case</t>
  </si>
  <si>
    <t xml:space="preserve">1 Base (85% / 50%) | 2 Soft (70% / 25%) | 3 Firm (95% / 75%) | 4 Custom (below)  [fronthaul / backhaul]</t>
  </si>
  <si>
    <t xml:space="preserve">CUSTOM OVERRIDES (used only when a switch selects 'Custom')</t>
  </si>
  <si>
    <t xml:space="preserve">Item</t>
  </si>
  <si>
    <t xml:space="preserve">Value</t>
  </si>
  <si>
    <t xml:space="preserve">Unit</t>
  </si>
  <si>
    <t xml:space="preserve">Note</t>
  </si>
  <si>
    <t xml:space="preserve">Custom Brent</t>
  </si>
  <si>
    <t xml:space="preserve">$/bbl</t>
  </si>
  <si>
    <t xml:space="preserve">User entry</t>
  </si>
  <si>
    <t xml:space="preserve">Custom freight multiplier</t>
  </si>
  <si>
    <t xml:space="preserve">x base rate</t>
  </si>
  <si>
    <t xml:space="preserve">Custom port-time multiplier</t>
  </si>
  <si>
    <t xml:space="preserve">x base port days</t>
  </si>
  <si>
    <t xml:space="preserve">Custom fronthaul utilization</t>
  </si>
  <si>
    <t xml:space="preserve">% capacity</t>
  </si>
  <si>
    <t xml:space="preserve">Custom backhaul utilization</t>
  </si>
  <si>
    <t xml:space="preserve">User entry (0% = ballast return)</t>
  </si>
  <si>
    <t xml:space="preserve">ACTIVE LEVERS (what the P&amp;L uses — formulas, do not overwrite)</t>
  </si>
  <si>
    <t xml:space="preserve">Lever</t>
  </si>
  <si>
    <t xml:space="preserve">Active value</t>
  </si>
  <si>
    <t xml:space="preserve">How resolved</t>
  </si>
  <si>
    <t xml:space="preserve">Brent crude</t>
  </si>
  <si>
    <t xml:space="preserve">Switch 2 -&gt; Data_Brent statistics (FRED MCOILBRENTEU)</t>
  </si>
  <si>
    <t xml:space="preserve">Freight rate multiplier</t>
  </si>
  <si>
    <t xml:space="preserve">Switch 3 -&gt; Data_PPI percentile bands</t>
  </si>
  <si>
    <t xml:space="preserve">Port-time multiplier</t>
  </si>
  <si>
    <t xml:space="preserve">Switch 4 (scenario bands, not a pulled series — USACE LPMS delay microdata is not public)</t>
  </si>
  <si>
    <t xml:space="preserve">Fronthaul utilization</t>
  </si>
  <si>
    <t xml:space="preserve">Switch 5</t>
  </si>
  <si>
    <t xml:space="preserve">Backhaul utilization</t>
  </si>
  <si>
    <t xml:space="preserve">VESSEL — generic 38,000 dwt IMO II stainless-steel parcel chemical tanker</t>
  </si>
  <si>
    <t xml:space="preserve">Assumption</t>
  </si>
  <si>
    <t xml:space="preserve">Basis / judgment (ESTIMATE unless a source is named)</t>
  </si>
  <si>
    <t xml:space="preserve">Deadweight</t>
  </si>
  <si>
    <t xml:space="preserve">t</t>
  </si>
  <si>
    <t xml:space="preserve">Typical deep-sea parcel tanker size class (32-45k dwt). Generic, not a specific ship.</t>
  </si>
  <si>
    <t xml:space="preserve">Usable cargo capacity</t>
  </si>
  <si>
    <t xml:space="preserve">DWT less ~2,000 t bunkers, fresh water, stores, constant.</t>
  </si>
  <si>
    <t xml:space="preserve">Operating speed</t>
  </si>
  <si>
    <t xml:space="preserve">knots</t>
  </si>
  <si>
    <t xml:space="preserve">Lever. Typical laden service speed 13-14.5 kn for this class.</t>
  </si>
  <si>
    <t xml:space="preserve">Reference speed for consumption</t>
  </si>
  <si>
    <t xml:space="preserve">Speed at which the consumption figures below apply.</t>
  </si>
  <si>
    <t xml:space="preserve">Sea consumption, laden</t>
  </si>
  <si>
    <t xml:space="preserve">t/day</t>
  </si>
  <si>
    <t xml:space="preserve">At reference speed. Non-eco 2010s-built design; eco ships ~20-24 t/day.</t>
  </si>
  <si>
    <t xml:space="preserve">Sea consumption, ballast</t>
  </si>
  <si>
    <t xml:space="preserve">At reference speed; applies to backhaul leg only when backhaul utilization = 0%.</t>
  </si>
  <si>
    <t xml:space="preserve">Port / canal consumption (MGO)</t>
  </si>
  <si>
    <t xml:space="preserve">Cargo pumps, heating, inerting, hotel load. Canal transit days burn at this rate (simplification).</t>
  </si>
  <si>
    <t xml:space="preserve">Consumption-speed exponent</t>
  </si>
  <si>
    <t xml:space="preserve">Admiralty (cube) law; fuel per mile scales with speed squared.</t>
  </si>
  <si>
    <t xml:space="preserve">Sea margin</t>
  </si>
  <si>
    <t xml:space="preserve">% of distance</t>
  </si>
  <si>
    <t xml:space="preserve">Weather and routeing allowance.</t>
  </si>
  <si>
    <t xml:space="preserve">Panama Canal net tonnage (PC/UMS)</t>
  </si>
  <si>
    <t xml:space="preserve">Estimate for class; use the ship's certificate in practice.</t>
  </si>
  <si>
    <t xml:space="preserve">Suez Canal net tonnage (SCNT)</t>
  </si>
  <si>
    <t xml:space="preserve">Hull &amp; machinery value</t>
  </si>
  <si>
    <t xml:space="preserve">$</t>
  </si>
  <si>
    <t xml:space="preserve">Used only for war-risk additional premium. Estimate.</t>
  </si>
  <si>
    <t xml:space="preserve">FUEL, CARBON &amp; COMMERCIAL</t>
  </si>
  <si>
    <t xml:space="preserve">Basis / judgment</t>
  </si>
  <si>
    <t xml:space="preserve">VLSFO price per $1/bbl Brent</t>
  </si>
  <si>
    <t xml:space="preserve">$/t per $/bbl</t>
  </si>
  <si>
    <t xml:space="preserve">ESTIMATE. ~7.3 bbl/t conversion x ~5% product premium. At $82 Brent -&gt; ~$631/t VLSFO. Spot-check vs Ship &amp; Bunker Houston/Rotterdam.</t>
  </si>
  <si>
    <t xml:space="preserve">MGO price per $1/bbl Brent</t>
  </si>
  <si>
    <t xml:space="preserve">ESTIMATE. Distillate premium over crude. At $82 Brent -&gt; ~$795/t MGO. Used in ECAs and in port.</t>
  </si>
  <si>
    <t xml:space="preserve">Freight commission (address + brokerage)</t>
  </si>
  <si>
    <t xml:space="preserve">% gross freight</t>
  </si>
  <si>
    <t xml:space="preserve">Market-standard 1.25% + 1.25%.</t>
  </si>
  <si>
    <t xml:space="preserve">Misc. voyage costs per round voyage</t>
  </si>
  <si>
    <t xml:space="preserve">Tank cleaning, surveys, nitrogen, sundries. ESTIMATE.</t>
  </si>
  <si>
    <t xml:space="preserve">Port disbursement multiplier</t>
  </si>
  <si>
    <t xml:space="preserve">x</t>
  </si>
  <si>
    <t xml:space="preserve">Lever on all per-call port costs (Routes sheet).</t>
  </si>
  <si>
    <t xml:space="preserve">Daily vessel cost benchmark</t>
  </si>
  <si>
    <t xml:space="preserve">$/day</t>
  </si>
  <si>
    <t xml:space="preserve">ESTIMATE. Owner: OPEX ~$8.5k + capital recovery ~$9.5k. Operator: substitute your T/C-in hire. TCE above this = voyage adds value.</t>
  </si>
  <si>
    <t xml:space="preserve">EU ETS allowance price</t>
  </si>
  <si>
    <t xml:space="preserve">EUR/t CO2</t>
  </si>
  <si>
    <t xml:space="preserve">ESTIMATE — check ICE EUA futures on the day.</t>
  </si>
  <si>
    <t xml:space="preserve">USD per EUR</t>
  </si>
  <si>
    <t xml:space="preserve">$/EUR</t>
  </si>
  <si>
    <t xml:space="preserve">ESTIMATE.</t>
  </si>
  <si>
    <t xml:space="preserve">ETS phase-in (2026)</t>
  </si>
  <si>
    <t xml:space="preserve">%</t>
  </si>
  <si>
    <t xml:space="preserve">EU ETS maritime: 40% (2024), 70% (2025), 100% from 2026 emissions.</t>
  </si>
  <si>
    <t xml:space="preserve">CO2 factor, VLSFO</t>
  </si>
  <si>
    <t xml:space="preserve">t CO2 / t fuel</t>
  </si>
  <si>
    <t xml:space="preserve">EU MRV / IMO emission factor for HFO-type fuels.</t>
  </si>
  <si>
    <t xml:space="preserve">CO2 factor, MGO</t>
  </si>
  <si>
    <t xml:space="preserve">EU MRV / IMO emission factor for MDO/MGO.</t>
  </si>
  <si>
    <t xml:space="preserve">VESSEL TONNAGE &amp; DIMENSIONS USED BY PORT TARIFFS</t>
  </si>
  <si>
    <t xml:space="preserve">Gross tonnage (GT)</t>
  </si>
  <si>
    <t xml:space="preserve">GT</t>
  </si>
  <si>
    <t xml:space="preserve">Estimate for class. Port of Rotterdam's own worked example uses a 23,230 GT chemical tanker, which corroborates the order of magnitude.</t>
  </si>
  <si>
    <t xml:space="preserve">Length overall</t>
  </si>
  <si>
    <t xml:space="preserve">feet</t>
  </si>
  <si>
    <t xml:space="preserve">~183 m. Sets the Port Houston dockage band (600-650 ft).</t>
  </si>
  <si>
    <t xml:space="preserve">CANAL-RELATED</t>
  </si>
  <si>
    <t xml:space="preserve">USD per SDR</t>
  </si>
  <si>
    <t xml:space="preserve">$/SDR</t>
  </si>
  <si>
    <t xml:space="preserve">ESTIMATE — check IMF daily rate (imf.org rms_five).</t>
  </si>
  <si>
    <t xml:space="preserve">Suez chemical-tanker surcharge, laden</t>
  </si>
  <si>
    <t xml:space="preserve">SCA Circular 7/2023 as reported (20% for chemical tankers). Applied on petroleum-product-tanker bands as proxy.</t>
  </si>
  <si>
    <t xml:space="preserve">Suez surcharge, ballast</t>
  </si>
  <si>
    <t xml:space="preserve">SCA Circular 7/2023 as reported.</t>
  </si>
  <si>
    <t xml:space="preserve">Suez ancillary costs per transit</t>
  </si>
  <si>
    <t xml:space="preserve">Pilotage, tugs, mooring, agency. ESTIMATE.</t>
  </si>
  <si>
    <t xml:space="preserve">War-risk additional premium per Suez transit</t>
  </si>
  <si>
    <t xml:space="preserve">% hull value</t>
  </si>
  <si>
    <t xml:space="preserve">ILLUSTRATIVE. Red Sea AP has swung widely since 2023; set to 0 to test a normalized Suez.</t>
  </si>
  <si>
    <t xml:space="preserve">Panama linehandlers per transit</t>
  </si>
  <si>
    <t xml:space="preserve">count</t>
  </si>
  <si>
    <t xml:space="preserve">Routes and port regions</t>
  </si>
  <si>
    <t xml:space="preserve">Round voyage: fronthaul A-&gt;B laden, backhaul B-&gt;A. Distances APPROXIMATE (verify with a distance table). Freight rates are CALIBRATED ASSUMPTIONS, not observed fixtures. Port costs come from the Port_Tariffs sheet.</t>
  </si>
  <si>
    <t xml:space="preserve">#</t>
  </si>
  <si>
    <t xml:space="preserve">Region A</t>
  </si>
  <si>
    <t xml:space="preserve">Region B</t>
  </si>
  <si>
    <t xml:space="preserve">Distance per leg (nm)</t>
  </si>
  <si>
    <t xml:space="preserve">ECA miles per leg (nm)</t>
  </si>
  <si>
    <t xml:space="preserve">Canal</t>
  </si>
  <si>
    <t xml:space="preserve">Canal days per transit</t>
  </si>
  <si>
    <t xml:space="preserve">EU ETS share of sea emissions</t>
  </si>
  <si>
    <t xml:space="preserve">Base freight fronthaul ($/t)</t>
  </si>
  <si>
    <t xml:space="preserve">Base freight backhaul ($/t)</t>
  </si>
  <si>
    <t xml:space="preserve">Port days per op, A</t>
  </si>
  <si>
    <t xml:space="preserve">Port days per op, B</t>
  </si>
  <si>
    <t xml:space="preserve">Fixed port cost per op, A ($)</t>
  </si>
  <si>
    <t xml:space="preserve">Fixed port cost per op, B ($)</t>
  </si>
  <si>
    <t xml:space="preserve">EU port A (1/0)</t>
  </si>
  <si>
    <t xml:space="preserve">EU port B (1/0)</t>
  </si>
  <si>
    <t xml:space="preserve">Canal cost per laden transit ($)</t>
  </si>
  <si>
    <t xml:space="preserve">Canal cost per ballast transit ($)</t>
  </si>
  <si>
    <t xml:space="preserve">Cargo-based port rate A ($/t)</t>
  </si>
  <si>
    <t xml:space="preserve">Cargo-based port rate B ($/t)</t>
  </si>
  <si>
    <t xml:space="preserve">Cargo-component cap A ($)</t>
  </si>
  <si>
    <t xml:space="preserve">Cargo-component cap B ($)</t>
  </si>
  <si>
    <t xml:space="preserve">Berth-day share A</t>
  </si>
  <si>
    <t xml:space="preserve">Berth-day share B</t>
  </si>
  <si>
    <t xml:space="preserve">USG-ARA transatlantic</t>
  </si>
  <si>
    <t xml:space="preserve">USG</t>
  </si>
  <si>
    <t xml:space="preserve">ARA</t>
  </si>
  <si>
    <t xml:space="preserve">None</t>
  </si>
  <si>
    <t xml:space="preserve">USG-Far East via Panama</t>
  </si>
  <si>
    <t xml:space="preserve">FEA</t>
  </si>
  <si>
    <t xml:space="preserve">Panama</t>
  </si>
  <si>
    <t xml:space="preserve">ARA-India WC via Suez</t>
  </si>
  <si>
    <t xml:space="preserve">IND</t>
  </si>
  <si>
    <t xml:space="preserve">Suez</t>
  </si>
  <si>
    <t xml:space="preserve">ARA-India WC via Cape</t>
  </si>
  <si>
    <t xml:space="preserve">Distances: approximate great-circle/standard routeing figures (Houston-Rotterdam ~5,000 nm; Houston-Ulsan via Panama ~9,650 nm; Rotterdam-Mumbai ~6,350 nm via Suez / ~10,850 nm via Cape). Verify with a distance table (e.g., Netpas, BP Shipping Marine Distances).</t>
  </si>
  <si>
    <t xml:space="preserve">PORT REGIONS — port cost per operation = fixed + MIN(cargo tonnes x cargo rate, cap) + dockage (Port_Tariffs sheet)</t>
  </si>
  <si>
    <t xml:space="preserve">Code</t>
  </si>
  <si>
    <t xml:space="preserve">Region</t>
  </si>
  <si>
    <t xml:space="preserve">Port days per operation (incl. waiting)</t>
  </si>
  <si>
    <t xml:space="preserve">Fixed cost per op ($)</t>
  </si>
  <si>
    <t xml:space="preserve">Cargo rate ($/t)</t>
  </si>
  <si>
    <t xml:space="preserve">Cargo cap ($)</t>
  </si>
  <si>
    <t xml:space="preserve">Berth-day share</t>
  </si>
  <si>
    <t xml:space="preserve">EU port (1/0)</t>
  </si>
  <si>
    <t xml:space="preserve">Basis</t>
  </si>
  <si>
    <t xml:space="preserve">US Gulf (Houston)</t>
  </si>
  <si>
    <t xml:space="preserve">0</t>
  </si>
  <si>
    <t xml:space="preserve">PUBLISHED: Port Houston Tariff 14 harbor fee + LOA-based dockage (see Port_Tariffs). Pilotage, tugs, linesmen, agency and private-terminal charges are an estimate.</t>
  </si>
  <si>
    <t xml:space="preserve">Amsterdam-Rotterdam-Antwerp</t>
  </si>
  <si>
    <t xml:space="preserve">PUBLISHED: Port of Rotterdam seaport dues — GT component + cargo component (capped) + sustainability component, 2025 schedule indexed 3.5% for 2026. Pilotage, tugs, boatmen and agency are an estimate.</t>
  </si>
  <si>
    <t xml:space="preserve">Far East Asia (Korea/China)</t>
  </si>
  <si>
    <t xml:space="preserve">65000</t>
  </si>
  <si>
    <t xml:space="preserve">ESTIMATE for Korea/China discharge — no published schedule transcribed.</t>
  </si>
  <si>
    <t xml:space="preserve">India West Coast</t>
  </si>
  <si>
    <t xml:space="preserve">55000</t>
  </si>
  <si>
    <t xml:space="preserve">ESTIMATE for Kandla/Mumbai/JNPT discharge — no published schedule transcribed.</t>
  </si>
  <si>
    <t xml:space="preserve">Port cost build-up from published tariffs</t>
  </si>
  <si>
    <t xml:space="preserve">Blue cells are published tariff rates (sources named in column E) or estimated ancillary costs. Only the US Gulf and ARA legs have transcribed published schedules; Far East and India are lump-sum estimates.</t>
  </si>
  <si>
    <t xml:space="preserve">PORT HOUSTON — Tariff No. 14, effective 1 January 2025</t>
  </si>
  <si>
    <t xml:space="preserve">Source: porthouston.com/toolbox/rates/tariffs (Tariff 14 PDF), Subrules 095 (dockage) and 096 (harbor fee)</t>
  </si>
  <si>
    <t xml:space="preserve">Source / note</t>
  </si>
  <si>
    <t xml:space="preserve">Harbor fee, vessels 250 ft and over</t>
  </si>
  <si>
    <t xml:space="preserve">Subrule 096, per entry into the Port Authority's jurisdictional limits. Published rate.</t>
  </si>
  <si>
    <t xml:space="preserve">Dockage rate, LOA 600-650 ft band</t>
  </si>
  <si>
    <t xml:space="preserve">Subrule 095, $ per foot of LOA per 24 hours. Published rate. Applies at Port Authority wharves; private liquid terminals set their own dockage.</t>
  </si>
  <si>
    <t xml:space="preserve">Length overall (feet)</t>
  </si>
  <si>
    <t xml:space="preserve">From Inputs.</t>
  </si>
  <si>
    <t xml:space="preserve">Share of port days alongside (rest is waiting)</t>
  </si>
  <si>
    <t xml:space="preserve">ESTIMATE. Waiting at anchorage incurs no dockage, so only berth time is charged.</t>
  </si>
  <si>
    <t xml:space="preserve">Berth days per operation, at the active port-time case</t>
  </si>
  <si>
    <t xml:space="preserve">Region port days x berth share x port-time multiplier.</t>
  </si>
  <si>
    <t xml:space="preserve">Dockage day-factor (tariff taper)</t>
  </si>
  <si>
    <t xml:space="preserve">Subrule 095: days 1-2 at full rate, day 3 at 90%, day 4 at 75%, day 5 at 60%, day 6+ at 50%.</t>
  </si>
  <si>
    <t xml:space="preserve">FIXED cost per operation (harbor fee + ancillary)</t>
  </si>
  <si>
    <t xml:space="preserve">Dockage is added per operation inside the model, because it moves with the congestion case.</t>
  </si>
  <si>
    <t xml:space="preserve">Ancillary: pilotage in/out, tugs, linesmen, agency, terminal</t>
  </si>
  <si>
    <t xml:space="preserve">ESTIMATE — replace with an agency proforma disbursement account.</t>
  </si>
  <si>
    <t xml:space="preserve">Illustrative dockage at the active case</t>
  </si>
  <si>
    <t xml:space="preserve">For reference; the model computes this per operation.</t>
  </si>
  <si>
    <t xml:space="preserve">PORT OF ROTTERDAM (ARA) — seaport dues, 2025 schedule indexed for 2026</t>
  </si>
  <si>
    <t xml:space="preserve">Source: Port of Rotterdam 'General terms and conditions including port tariffs', Annex 1 Tables 1-3 and the 133.3% chemical-tanker efficiency cap; portofrotterdam.com/en/port-dues-tariffs</t>
  </si>
  <si>
    <t xml:space="preserve">GT tariff, chemical/gas tanker (EUR per GT)</t>
  </si>
  <si>
    <t xml:space="preserve">Table 1, rate type C. Published rate.</t>
  </si>
  <si>
    <t xml:space="preserve">Sustainability component (EUR per GT)</t>
  </si>
  <si>
    <t xml:space="preserve">Table 3. No ESI or Green Award discount assumed — a Green Award certificate would cut this component by 70%.</t>
  </si>
  <si>
    <t xml:space="preserve">Cargo rate, other liquid bulk (EUR per tonne)</t>
  </si>
  <si>
    <t xml:space="preserve">Table 2, commodity type 07. Published rate.</t>
  </si>
  <si>
    <t xml:space="preserve">Cargo-component cap, chemical tankers</t>
  </si>
  <si>
    <t xml:space="preserve">Efficiency discount: cargo dues capped at GT x 133.3% x cargo rate. Published rule.</t>
  </si>
  <si>
    <t xml:space="preserve">2026 indexation</t>
  </si>
  <si>
    <t xml:space="preserve">Port of Rotterdam published a 3.5% indexation of port tariffs for 2026; applied to the 2025 schedule.</t>
  </si>
  <si>
    <t xml:space="preserve">Ancillary: pilotage, tugs, boatmen, agency, terminal</t>
  </si>
  <si>
    <t xml:space="preserve">FIXED cost per operation ($)</t>
  </si>
  <si>
    <t xml:space="preserve">Vessel and sustainability components, converted at the USD/EUR rate on Inputs.</t>
  </si>
  <si>
    <t xml:space="preserve">Cargo rate per tonne ($)</t>
  </si>
  <si>
    <t xml:space="preserve">Applied to the tonnes loaded or discharged at this port.</t>
  </si>
  <si>
    <t xml:space="preserve">Cargo-component cap ($)</t>
  </si>
  <si>
    <t xml:space="preserve">Illustrative dues, 30,600 t discharge</t>
  </si>
  <si>
    <t xml:space="preserve">Sanity check against the worked example in the port's own annex.</t>
  </si>
  <si>
    <t xml:space="preserve">FAR EAST AND INDIA — no published schedule transcribed; lump-sum estimates on the Routes sheet.</t>
  </si>
  <si>
    <t xml:space="preserve">Canal toll build-up (per transit)</t>
  </si>
  <si>
    <t xml:space="preserve">Tariff values in blue are taken from the supplied extracts of official schedules (see data/README.md). Vessel tonnages and ancillaries are estimates.</t>
  </si>
  <si>
    <t xml:space="preserve">PANAMA CANAL — 'Super' vessel (beam &gt; 91 ft), chemical tanker</t>
  </si>
  <si>
    <t xml:space="preserve">Tariff</t>
  </si>
  <si>
    <t xml:space="preserve">Laden ($)</t>
  </si>
  <si>
    <t xml:space="preserve">Ballast ($)</t>
  </si>
  <si>
    <t xml:space="preserve">Fixed tariff per transit (1010.FS01)</t>
  </si>
  <si>
    <t xml:space="preserve">ACP tariff schedule; ballast pays 85% (1010.BA01)</t>
  </si>
  <si>
    <t xml:space="preserve">Capacity tariff per PC/UMS t, chemical (1010.QS01)</t>
  </si>
  <si>
    <t xml:space="preserve">ACP tariff schedule x PC/UMS (Inputs)</t>
  </si>
  <si>
    <t xml:space="preserve">Mandatory tug, complete transit (Panamax locks)</t>
  </si>
  <si>
    <t xml:space="preserve">ACP schedule (regular-vessel rate used as proxy)</t>
  </si>
  <si>
    <t xml:space="preserve">Linehandling per linehandler (Panamax locks)</t>
  </si>
  <si>
    <t xml:space="preserve">ACP schedule x linehandler count (Inputs)</t>
  </si>
  <si>
    <t xml:space="preserve">Transit reservation (Panamax)</t>
  </si>
  <si>
    <t xml:space="preserve">ACP schedule; optional in practice, included as base</t>
  </si>
  <si>
    <t xml:space="preserve">Security charge (PC/UMS &gt;= 3,000)</t>
  </si>
  <si>
    <t xml:space="preserve">ACP schedule</t>
  </si>
  <si>
    <t xml:space="preserve">Fresh water surcharge, fixed (LOA &gt; 91.44 m)</t>
  </si>
  <si>
    <t xml:space="preserve">ACP schedule; variable portion omitted</t>
  </si>
  <si>
    <t xml:space="preserve">Port pilotage, per call (x2: each end)</t>
  </si>
  <si>
    <t xml:space="preserve">Ballast factor (1010.BA01)</t>
  </si>
  <si>
    <t xml:space="preserve">Panama total per transit</t>
  </si>
  <si>
    <t xml:space="preserve">SUEZ CANAL — petroleum-product-tanker bands (SDR per SCNT), Circular 7/2023</t>
  </si>
  <si>
    <t xml:space="preserve">Band</t>
  </si>
  <si>
    <t xml:space="preserve">Band size (SCNT)</t>
  </si>
  <si>
    <t xml:space="preserve">Laden SDR/t</t>
  </si>
  <si>
    <t xml:space="preserve">Ballast SDR/t</t>
  </si>
  <si>
    <t xml:space="preserve">SCNT in band</t>
  </si>
  <si>
    <t xml:space="preserve">First 5,000</t>
  </si>
  <si>
    <t xml:space="preserve">Source: SCA Circular 7/2023 (eff. 15-Jan-2024) via shipping-agent mirror; see data/README.md</t>
  </si>
  <si>
    <t xml:space="preserve">Next 5,000</t>
  </si>
  <si>
    <t xml:space="preserve">Next 10,000</t>
  </si>
  <si>
    <t xml:space="preserve">Next 20,000</t>
  </si>
  <si>
    <t xml:space="preserve">Next 30,000</t>
  </si>
  <si>
    <t xml:space="preserve">Next 50,000</t>
  </si>
  <si>
    <t xml:space="preserve">The rest</t>
  </si>
  <si>
    <t xml:space="preserve">Laden</t>
  </si>
  <si>
    <t xml:space="preserve">Ballast</t>
  </si>
  <si>
    <t xml:space="preserve">Base dues (SDR)</t>
  </si>
  <si>
    <t xml:space="preserve">Tanker surcharge</t>
  </si>
  <si>
    <t xml:space="preserve">Chemical-tanker surcharge per safety4sea reporting of the same circular; bands are the product-tanker schedule (closest published proxy).</t>
  </si>
  <si>
    <t xml:space="preserve">Dues incl. surcharge (SDR)</t>
  </si>
  <si>
    <t xml:space="preserve">Transit dues ($)</t>
  </si>
  <si>
    <t xml:space="preserve">Ancillaries: pilotage, tugs, mooring, agency ($, estimate)</t>
  </si>
  <si>
    <t xml:space="preserve">War-risk additional premium ($, illustrative)</t>
  </si>
  <si>
    <t xml:space="preserve">Suez total per transit</t>
  </si>
  <si>
    <t xml:space="preserve">Voyage P&amp;L — Time Charter Equivalent build-up (active scenario)</t>
  </si>
  <si>
    <t xml:space="preserve">Change scenario switches on the Inputs sheet. All values are formulas.</t>
  </si>
  <si>
    <t xml:space="preserve">ROUTE COMPARISON — active levers applied to every route</t>
  </si>
  <si>
    <t xml:space="preserve">SCENARIO</t>
  </si>
  <si>
    <t xml:space="preserve">Days</t>
  </si>
  <si>
    <t xml:space="preserve">Bunkers</t>
  </si>
  <si>
    <t xml:space="preserve">Port</t>
  </si>
  <si>
    <t xml:space="preserve">EU ETS</t>
  </si>
  <si>
    <t xml:space="preserve">Misc</t>
  </si>
  <si>
    <t xml:space="preserve">TCE $/day</t>
  </si>
  <si>
    <t xml:space="preserve">Result $</t>
  </si>
  <si>
    <t xml:space="preserve">Break-even FH $/t</t>
  </si>
  <si>
    <t xml:space="preserve">Brent / VLSFO / MGO</t>
  </si>
  <si>
    <t xml:space="preserve">$/bbl; bunker $/t derived</t>
  </si>
  <si>
    <t xml:space="preserve">Freight multiplier / port-time multiplier</t>
  </si>
  <si>
    <t xml:space="preserve">Utilization fronthaul / backhaul</t>
  </si>
  <si>
    <t xml:space="preserve">VOYAGE TIME</t>
  </si>
  <si>
    <t xml:space="preserve">Routes sheet</t>
  </si>
  <si>
    <t xml:space="preserve">Sea days, fronthaul</t>
  </si>
  <si>
    <t xml:space="preserve">distance x (1 + sea margin) / (speed x 24)</t>
  </si>
  <si>
    <t xml:space="preserve">Sea days, backhaul</t>
  </si>
  <si>
    <t xml:space="preserve">same distance</t>
  </si>
  <si>
    <t xml:space="preserve">Port days, region A</t>
  </si>
  <si>
    <t xml:space="preserve">days per operation x operations x port-time multiplier</t>
  </si>
  <si>
    <t xml:space="preserve">Port days, region B</t>
  </si>
  <si>
    <t xml:space="preserve">an operation = a load or a discharge; a backhaul cargo adds one at each end</t>
  </si>
  <si>
    <t xml:space="preserve">Canal days</t>
  </si>
  <si>
    <t xml:space="preserve">two transits</t>
  </si>
  <si>
    <t xml:space="preserve">Total voyage days</t>
  </si>
  <si>
    <t xml:space="preserve">REVENUE</t>
  </si>
  <si>
    <t xml:space="preserve">Fronthaul cargo (t) x rate ($/t)</t>
  </si>
  <si>
    <t xml:space="preserve">B = tonnes, C = $/t</t>
  </si>
  <si>
    <t xml:space="preserve">Backhaul cargo (t) x rate ($/t)</t>
  </si>
  <si>
    <t xml:space="preserve">Less: commissions</t>
  </si>
  <si>
    <t xml:space="preserve">address + brokerage</t>
  </si>
  <si>
    <t xml:space="preserve">Net freight</t>
  </si>
  <si>
    <t xml:space="preserve">VOYAGE COSTS</t>
  </si>
  <si>
    <t xml:space="preserve">Speed factor (consumption vs reference)</t>
  </si>
  <si>
    <t xml:space="preserve">cube law</t>
  </si>
  <si>
    <t xml:space="preserve">Sea fuel, both legs (t)</t>
  </si>
  <si>
    <t xml:space="preserve">ECA share of sea miles</t>
  </si>
  <si>
    <t xml:space="preserve">burns MGO</t>
  </si>
  <si>
    <t xml:space="preserve">VLSFO cost (sea, outside ECA)</t>
  </si>
  <si>
    <t xml:space="preserve">C = tonnes</t>
  </si>
  <si>
    <t xml:space="preserve">MGO cost (ECA + port + canal)</t>
  </si>
  <si>
    <t xml:space="preserve">Port disbursements</t>
  </si>
  <si>
    <t xml:space="preserve">Published Port Houston / Rotterdam tariffs + estimated ancillaries (Port_Tariffs sheet)</t>
  </si>
  <si>
    <t xml:space="preserve">Canal tolls &amp; transit costs</t>
  </si>
  <si>
    <t xml:space="preserve">Canal_Tolls sheet</t>
  </si>
  <si>
    <t xml:space="preserve">EU ETS allowances</t>
  </si>
  <si>
    <t xml:space="preserve">50% of extra-EU voyage emissions + 100% at EU berth</t>
  </si>
  <si>
    <t xml:space="preserve">Misc. voyage costs</t>
  </si>
  <si>
    <t xml:space="preserve">RESULT</t>
  </si>
  <si>
    <t xml:space="preserve">Voyage net revenue (net freight - voyage costs)</t>
  </si>
  <si>
    <t xml:space="preserve">TIME CHARTER EQUIVALENT ($/day)</t>
  </si>
  <si>
    <t xml:space="preserve">the headline commercial metric</t>
  </si>
  <si>
    <t xml:space="preserve">Daily vessel cost benchmark ($/day)</t>
  </si>
  <si>
    <t xml:space="preserve">OPEX + capital, or T/C-in hire</t>
  </si>
  <si>
    <t xml:space="preserve">TCE margin over benchmark ($/day)</t>
  </si>
  <si>
    <t xml:space="preserve">Voyage result after vessel cost ($)</t>
  </si>
  <si>
    <t xml:space="preserve">Break-even fronthaul freight rate ($/t)</t>
  </si>
  <si>
    <t xml:space="preserve">rate at which TCE = benchmark</t>
  </si>
  <si>
    <t xml:space="preserve">Headroom: base fronthaul rate vs break-even</t>
  </si>
  <si>
    <t xml:space="preserve">how far the rate can fall before the voyage stops covering vessel cost</t>
  </si>
  <si>
    <t xml:space="preserve">COST STRUCTURE (% of total voyage costs)</t>
  </si>
  <si>
    <t xml:space="preserve">Voyage costs as % of net freight</t>
  </si>
  <si>
    <t xml:space="preserve">MODEL CHECK</t>
  </si>
  <si>
    <t xml:space="preserve">Engine TCE (active-scenario row)</t>
  </si>
  <si>
    <t xml:space="preserve">Difference (must be 0)</t>
  </si>
  <si>
    <t xml:space="preserve">Sensitivity — what drives TCE?</t>
  </si>
  <si>
    <t xml:space="preserve">Tornado: each lever moved across a plausible range with everything else at the active scenario. Freight and Brent ranges are data-derived (Data_PPI, Data_Brent); the rest are judgment bands.</t>
  </si>
  <si>
    <t xml:space="preserve">Base TCE (active scenario)</t>
  </si>
  <si>
    <t xml:space="preserve">A. Tornado input table (unsorted)</t>
  </si>
  <si>
    <t xml:space="preserve">Low value</t>
  </si>
  <si>
    <t xml:space="preserve">High value</t>
  </si>
  <si>
    <t xml:space="preserve">TCE at low</t>
  </si>
  <si>
    <t xml:space="preserve">TCE at high</t>
  </si>
  <si>
    <t xml:space="preserve">Swing $/day</t>
  </si>
  <si>
    <t xml:space="preserve">Sort key</t>
  </si>
  <si>
    <t xml:space="preserve">Freight rate (market)</t>
  </si>
  <si>
    <t xml:space="preserve">Bunker price (Brent)</t>
  </si>
  <si>
    <t xml:space="preserve">Port time (congestion)</t>
  </si>
  <si>
    <t xml:space="preserve">Service speed</t>
  </si>
  <si>
    <t xml:space="preserve">x base</t>
  </si>
  <si>
    <t xml:space="preserve">EU carbon price (EUA)</t>
  </si>
  <si>
    <t xml:space="preserve">EUR/t</t>
  </si>
  <si>
    <t xml:space="preserve">B. Tornado — ranked by swing (chart source)</t>
  </si>
  <si>
    <t xml:space="preserve">Low -&gt; TCE change</t>
  </si>
  <si>
    <t xml:space="preserve">High -&gt; TCE change</t>
  </si>
  <si>
    <t xml:space="preserve">Rank</t>
  </si>
  <si>
    <t xml:space="preserve">C. Leverage — TCE change for a +10% move in each lever (apples-to-apples)</t>
  </si>
  <si>
    <t xml:space="preserve">Base value</t>
  </si>
  <si>
    <t xml:space="preserve">+10% value</t>
  </si>
  <si>
    <t xml:space="preserve">TCE change $/day</t>
  </si>
  <si>
    <t xml:space="preserve">Per 1% move $/day</t>
  </si>
  <si>
    <t xml:space="preserve">Freight rate</t>
  </si>
  <si>
    <t xml:space="preserve">Bunker price</t>
  </si>
  <si>
    <t xml:space="preserve">Port time</t>
  </si>
  <si>
    <t xml:space="preserve">Reading the two views together: the tornado answers 'what moved results most over realistic ranges'; the +10% table answers 'where does one unit of effort buy the most TCE'. Utilization and speed are partly controllable; freight and bunker prices are mostly not.</t>
  </si>
  <si>
    <t xml:space="preserve">Break-even fronthaul freight rate ($/t) — the rate at which TCE equals the daily vessel cost benchmark</t>
  </si>
  <si>
    <t xml:space="preserve">Curves hold the active route and levers constant except the ones named. Linear in Brent because bunker cost is linear in price.</t>
  </si>
  <si>
    <t xml:space="preserve">A. By port-time multiplier (active route)</t>
  </si>
  <si>
    <t xml:space="preserve">Brent $/bbl</t>
  </si>
  <si>
    <t xml:space="preserve">1.0x port time</t>
  </si>
  <si>
    <t xml:space="preserve">1.5x port time</t>
  </si>
  <si>
    <t xml:space="preserve">2.0x port time</t>
  </si>
  <si>
    <t xml:space="preserve">B. By fronthaul utilization (active route)</t>
  </si>
  <si>
    <t xml:space="preserve">70% utilization</t>
  </si>
  <si>
    <t xml:space="preserve">85% utilization</t>
  </si>
  <si>
    <t xml:space="preserve">95% utilization</t>
  </si>
  <si>
    <t xml:space="preserve">C. By route (active levers)</t>
  </si>
  <si>
    <t xml:space="preserve">Base rate R1</t>
  </si>
  <si>
    <t xml:space="preserve">Base rate R2</t>
  </si>
  <si>
    <t xml:space="preserve">Base rate R3</t>
  </si>
  <si>
    <t xml:space="preserve">Base rate R4</t>
  </si>
  <si>
    <t xml:space="preserve">D. TCE grid ($/day): freight multiplier (rows) x Brent (columns), active route</t>
  </si>
  <si>
    <t xml:space="preserve">Freight mult \ Brent</t>
  </si>
  <si>
    <t xml:space="preserve">$60</t>
  </si>
  <si>
    <t xml:space="preserve">$70</t>
  </si>
  <si>
    <t xml:space="preserve">$80</t>
  </si>
  <si>
    <t xml:space="preserve">$90</t>
  </si>
  <si>
    <t xml:space="preserve">$100</t>
  </si>
  <si>
    <t xml:space="preserve">$110</t>
  </si>
  <si>
    <t xml:space="preserve">$120</t>
  </si>
  <si>
    <t xml:space="preserve">Colour midpoint = $18,000/day benchmark (white). Red = below vessel cost; green = above.</t>
  </si>
  <si>
    <t xml:space="preserve">E. Speed optimization: TCE ($/day) by service speed and Brent (active route)</t>
  </si>
  <si>
    <t xml:space="preserve">Speed (kn)</t>
  </si>
  <si>
    <t xml:space="preserve">Brent $65</t>
  </si>
  <si>
    <t xml:space="preserve">Brent $82</t>
  </si>
  <si>
    <t xml:space="preserve">Brent $104</t>
  </si>
  <si>
    <t xml:space="preserve">TCE-maximizing speed</t>
  </si>
  <si>
    <t xml:space="preserve">Calculation engine — one full round-voyage P&amp;L per row</t>
  </si>
  <si>
    <t xml:space="preserve">Each row recomputes the whole voyage with its own lever values (cols C-K). Sensitivity and Breakeven sheets read from here. Row 7 = active scenario and must equal Voyage_PnL (check on that sheet).</t>
  </si>
  <si>
    <t xml:space="preserve">Case</t>
  </si>
  <si>
    <t xml:space="preserve">Group</t>
  </si>
  <si>
    <t xml:space="preserve">Route #</t>
  </si>
  <si>
    <t xml:space="preserve">Freight mult</t>
  </si>
  <si>
    <t xml:space="preserve">Port-time mult</t>
  </si>
  <si>
    <t xml:space="preserve">Util FH</t>
  </si>
  <si>
    <t xml:space="preserve">Util BH</t>
  </si>
  <si>
    <t xml:space="preserve">Speed kn</t>
  </si>
  <si>
    <t xml:space="preserve">Port-cost mult</t>
  </si>
  <si>
    <t xml:space="preserve">EUA EUR/t</t>
  </si>
  <si>
    <t xml:space="preserve">Distance/leg nm</t>
  </si>
  <si>
    <t xml:space="preserve">ECA share</t>
  </si>
  <si>
    <t xml:space="preserve">Sea days (both legs)</t>
  </si>
  <si>
    <t xml:space="preserve">Speed factor</t>
  </si>
  <si>
    <t xml:space="preserve">Backhaul laden?</t>
  </si>
  <si>
    <t xml:space="preserve">Sea fuel t</t>
  </si>
  <si>
    <t xml:space="preserve">VLSFO t</t>
  </si>
  <si>
    <t xml:space="preserve">MGO sea t</t>
  </si>
  <si>
    <t xml:space="preserve">Port ops per region</t>
  </si>
  <si>
    <t xml:space="preserve">Port days A</t>
  </si>
  <si>
    <t xml:space="preserve">Port days B</t>
  </si>
  <si>
    <t xml:space="preserve">MGO port t</t>
  </si>
  <si>
    <t xml:space="preserve">Bunker cost $</t>
  </si>
  <si>
    <t xml:space="preserve">Port cost $</t>
  </si>
  <si>
    <t xml:space="preserve">Canal cost $</t>
  </si>
  <si>
    <t xml:space="preserve">EU ETS cost $</t>
  </si>
  <si>
    <t xml:space="preserve">Qty FH t</t>
  </si>
  <si>
    <t xml:space="preserve">Qty BH t</t>
  </si>
  <si>
    <t xml:space="preserve">Rate FH $/t</t>
  </si>
  <si>
    <t xml:space="preserve">Rate BH $/t</t>
  </si>
  <si>
    <t xml:space="preserve">Gross freight $</t>
  </si>
  <si>
    <t xml:space="preserve">Commission $</t>
  </si>
  <si>
    <t xml:space="preserve">Voyage costs $</t>
  </si>
  <si>
    <t xml:space="preserve">Voyage days</t>
  </si>
  <si>
    <t xml:space="preserve">Voyage result $</t>
  </si>
  <si>
    <t xml:space="preserve">Break-even FH rate $/t</t>
  </si>
  <si>
    <t xml:space="preserve">Active scenario</t>
  </si>
  <si>
    <t xml:space="preserve">base</t>
  </si>
  <si>
    <t xml:space="preserve">TORNADO CASES (one lever flexed, all others at active values)</t>
  </si>
  <si>
    <t xml:space="preserve">Freight rate (market) — low</t>
  </si>
  <si>
    <t xml:space="preserve">tornado</t>
  </si>
  <si>
    <t xml:space="preserve">Freight rate (market) — high</t>
  </si>
  <si>
    <t xml:space="preserve">Bunker price (Brent) — low</t>
  </si>
  <si>
    <t xml:space="preserve">Bunker price (Brent) — high</t>
  </si>
  <si>
    <t xml:space="preserve">Port time (congestion) — low</t>
  </si>
  <si>
    <t xml:space="preserve">Port time (congestion) — high</t>
  </si>
  <si>
    <t xml:space="preserve">Fronthaul utilization — low</t>
  </si>
  <si>
    <t xml:space="preserve">Fronthaul utilization — high</t>
  </si>
  <si>
    <t xml:space="preserve">Backhaul utilization — low</t>
  </si>
  <si>
    <t xml:space="preserve">Backhaul utilization — high</t>
  </si>
  <si>
    <t xml:space="preserve">Service speed — low</t>
  </si>
  <si>
    <t xml:space="preserve">Service speed — high</t>
  </si>
  <si>
    <t xml:space="preserve">Port disbursements — low</t>
  </si>
  <si>
    <t xml:space="preserve">Port disbursements — high</t>
  </si>
  <si>
    <t xml:space="preserve">EU carbon price (EUA) — low</t>
  </si>
  <si>
    <t xml:space="preserve">EU carbon price (EUA) — high</t>
  </si>
  <si>
    <t xml:space="preserve">ELASTICITY CASES (+10% on one lever)</t>
  </si>
  <si>
    <t xml:space="preserve">Freight rate +10%</t>
  </si>
  <si>
    <t xml:space="preserve">elasticity</t>
  </si>
  <si>
    <t xml:space="preserve">Bunker price +10%</t>
  </si>
  <si>
    <t xml:space="preserve">Port time +10%</t>
  </si>
  <si>
    <t xml:space="preserve">Fronthaul utilization +10%</t>
  </si>
  <si>
    <t xml:space="preserve">Backhaul utilization +10%</t>
  </si>
  <si>
    <t xml:space="preserve">Service speed +10%</t>
  </si>
  <si>
    <t xml:space="preserve">Port disbursements +10%</t>
  </si>
  <si>
    <t xml:space="preserve">ROUTE COMPARISON (active levers, each route)</t>
  </si>
  <si>
    <t xml:space="preserve">Route 1</t>
  </si>
  <si>
    <t xml:space="preserve">routes</t>
  </si>
  <si>
    <t xml:space="preserve">Route 2</t>
  </si>
  <si>
    <t xml:space="preserve">Route 3</t>
  </si>
  <si>
    <t xml:space="preserve">Route 4</t>
  </si>
  <si>
    <t xml:space="preserve">BREAK-EVEN CASES (Brent x port-time; Brent x fronthaul utilization)</t>
  </si>
  <si>
    <t xml:space="preserve">BE port 1.0x Brent 50</t>
  </si>
  <si>
    <t xml:space="preserve">be_port</t>
  </si>
  <si>
    <t xml:space="preserve">BE port 1.0x Brent 60</t>
  </si>
  <si>
    <t xml:space="preserve">BE port 1.0x Brent 70</t>
  </si>
  <si>
    <t xml:space="preserve">BE port 1.0x Brent 80</t>
  </si>
  <si>
    <t xml:space="preserve">BE port 1.0x Brent 90</t>
  </si>
  <si>
    <t xml:space="preserve">BE port 1.0x Brent 100</t>
  </si>
  <si>
    <t xml:space="preserve">BE port 1.0x Brent 110</t>
  </si>
  <si>
    <t xml:space="preserve">BE port 1.0x Brent 120</t>
  </si>
  <si>
    <t xml:space="preserve">BE port 1.0x Brent 130</t>
  </si>
  <si>
    <t xml:space="preserve">BE port 1.5x Brent 50</t>
  </si>
  <si>
    <t xml:space="preserve">BE port 1.5x Brent 60</t>
  </si>
  <si>
    <t xml:space="preserve">BE port 1.5x Brent 70</t>
  </si>
  <si>
    <t xml:space="preserve">BE port 1.5x Brent 80</t>
  </si>
  <si>
    <t xml:space="preserve">BE port 1.5x Brent 90</t>
  </si>
  <si>
    <t xml:space="preserve">BE port 1.5x Brent 100</t>
  </si>
  <si>
    <t xml:space="preserve">BE port 1.5x Brent 110</t>
  </si>
  <si>
    <t xml:space="preserve">BE port 1.5x Brent 120</t>
  </si>
  <si>
    <t xml:space="preserve">BE port 1.5x Brent 130</t>
  </si>
  <si>
    <t xml:space="preserve">BE port 2.0x Brent 50</t>
  </si>
  <si>
    <t xml:space="preserve">BE port 2.0x Brent 60</t>
  </si>
  <si>
    <t xml:space="preserve">BE port 2.0x Brent 70</t>
  </si>
  <si>
    <t xml:space="preserve">BE port 2.0x Brent 80</t>
  </si>
  <si>
    <t xml:space="preserve">BE port 2.0x Brent 90</t>
  </si>
  <si>
    <t xml:space="preserve">BE port 2.0x Brent 100</t>
  </si>
  <si>
    <t xml:space="preserve">BE port 2.0x Brent 110</t>
  </si>
  <si>
    <t xml:space="preserve">BE port 2.0x Brent 120</t>
  </si>
  <si>
    <t xml:space="preserve">BE port 2.0x Brent 130</t>
  </si>
  <si>
    <t xml:space="preserve">BE util 70% Brent 50</t>
  </si>
  <si>
    <t xml:space="preserve">be_util</t>
  </si>
  <si>
    <t xml:space="preserve">BE util 70% Brent 60</t>
  </si>
  <si>
    <t xml:space="preserve">BE util 70% Brent 70</t>
  </si>
  <si>
    <t xml:space="preserve">BE util 70% Brent 80</t>
  </si>
  <si>
    <t xml:space="preserve">BE util 70% Brent 90</t>
  </si>
  <si>
    <t xml:space="preserve">BE util 70% Brent 100</t>
  </si>
  <si>
    <t xml:space="preserve">BE util 70% Brent 110</t>
  </si>
  <si>
    <t xml:space="preserve">BE util 70% Brent 120</t>
  </si>
  <si>
    <t xml:space="preserve">BE util 70% Brent 130</t>
  </si>
  <si>
    <t xml:space="preserve">BE util 85% Brent 50</t>
  </si>
  <si>
    <t xml:space="preserve">BE util 85% Brent 60</t>
  </si>
  <si>
    <t xml:space="preserve">BE util 85% Brent 70</t>
  </si>
  <si>
    <t xml:space="preserve">BE util 85% Brent 80</t>
  </si>
  <si>
    <t xml:space="preserve">BE util 85% Brent 90</t>
  </si>
  <si>
    <t xml:space="preserve">BE util 85% Brent 100</t>
  </si>
  <si>
    <t xml:space="preserve">BE util 85% Brent 110</t>
  </si>
  <si>
    <t xml:space="preserve">BE util 85% Brent 120</t>
  </si>
  <si>
    <t xml:space="preserve">BE util 85% Brent 130</t>
  </si>
  <si>
    <t xml:space="preserve">BE util 95% Brent 50</t>
  </si>
  <si>
    <t xml:space="preserve">BE util 95% Brent 60</t>
  </si>
  <si>
    <t xml:space="preserve">BE util 95% Brent 70</t>
  </si>
  <si>
    <t xml:space="preserve">BE util 95% Brent 80</t>
  </si>
  <si>
    <t xml:space="preserve">BE util 95% Brent 90</t>
  </si>
  <si>
    <t xml:space="preserve">BE util 95% Brent 100</t>
  </si>
  <si>
    <t xml:space="preserve">BE util 95% Brent 110</t>
  </si>
  <si>
    <t xml:space="preserve">BE util 95% Brent 120</t>
  </si>
  <si>
    <t xml:space="preserve">BE util 95% Brent 130</t>
  </si>
  <si>
    <t xml:space="preserve">BE route 1 Brent 50</t>
  </si>
  <si>
    <t xml:space="preserve">be_route</t>
  </si>
  <si>
    <t xml:space="preserve">BE route 1 Brent 60</t>
  </si>
  <si>
    <t xml:space="preserve">BE route 1 Brent 70</t>
  </si>
  <si>
    <t xml:space="preserve">BE route 1 Brent 80</t>
  </si>
  <si>
    <t xml:space="preserve">BE route 1 Brent 90</t>
  </si>
  <si>
    <t xml:space="preserve">BE route 1 Brent 100</t>
  </si>
  <si>
    <t xml:space="preserve">BE route 1 Brent 110</t>
  </si>
  <si>
    <t xml:space="preserve">BE route 1 Brent 120</t>
  </si>
  <si>
    <t xml:space="preserve">BE route 1 Brent 130</t>
  </si>
  <si>
    <t xml:space="preserve">BE route 2 Brent 50</t>
  </si>
  <si>
    <t xml:space="preserve">BE route 2 Brent 60</t>
  </si>
  <si>
    <t xml:space="preserve">BE route 2 Brent 70</t>
  </si>
  <si>
    <t xml:space="preserve">BE route 2 Brent 80</t>
  </si>
  <si>
    <t xml:space="preserve">BE route 2 Brent 90</t>
  </si>
  <si>
    <t xml:space="preserve">BE route 2 Brent 100</t>
  </si>
  <si>
    <t xml:space="preserve">BE route 2 Brent 110</t>
  </si>
  <si>
    <t xml:space="preserve">BE route 2 Brent 120</t>
  </si>
  <si>
    <t xml:space="preserve">BE route 2 Brent 130</t>
  </si>
  <si>
    <t xml:space="preserve">BE route 3 Brent 50</t>
  </si>
  <si>
    <t xml:space="preserve">BE route 3 Brent 60</t>
  </si>
  <si>
    <t xml:space="preserve">BE route 3 Brent 70</t>
  </si>
  <si>
    <t xml:space="preserve">BE route 3 Brent 80</t>
  </si>
  <si>
    <t xml:space="preserve">BE route 3 Brent 90</t>
  </si>
  <si>
    <t xml:space="preserve">BE route 3 Brent 100</t>
  </si>
  <si>
    <t xml:space="preserve">BE route 3 Brent 110</t>
  </si>
  <si>
    <t xml:space="preserve">BE route 3 Brent 120</t>
  </si>
  <si>
    <t xml:space="preserve">BE route 3 Brent 130</t>
  </si>
  <si>
    <t xml:space="preserve">BE route 4 Brent 50</t>
  </si>
  <si>
    <t xml:space="preserve">BE route 4 Brent 60</t>
  </si>
  <si>
    <t xml:space="preserve">BE route 4 Brent 70</t>
  </si>
  <si>
    <t xml:space="preserve">BE route 4 Brent 80</t>
  </si>
  <si>
    <t xml:space="preserve">BE route 4 Brent 90</t>
  </si>
  <si>
    <t xml:space="preserve">BE route 4 Brent 100</t>
  </si>
  <si>
    <t xml:space="preserve">BE route 4 Brent 110</t>
  </si>
  <si>
    <t xml:space="preserve">BE route 4 Brent 120</t>
  </si>
  <si>
    <t xml:space="preserve">BE route 4 Brent 130</t>
  </si>
  <si>
    <t xml:space="preserve">TCE GRID CASES (freight multiplier x Brent)</t>
  </si>
  <si>
    <t xml:space="preserve">Grid 0.8x / $60</t>
  </si>
  <si>
    <t xml:space="preserve">grid</t>
  </si>
  <si>
    <t xml:space="preserve">Grid 0.8x / $70</t>
  </si>
  <si>
    <t xml:space="preserve">Grid 0.8x / $80</t>
  </si>
  <si>
    <t xml:space="preserve">Grid 0.8x / $90</t>
  </si>
  <si>
    <t xml:space="preserve">Grid 0.8x / $100</t>
  </si>
  <si>
    <t xml:space="preserve">Grid 0.8x / $110</t>
  </si>
  <si>
    <t xml:space="preserve">Grid 0.8x / $120</t>
  </si>
  <si>
    <t xml:space="preserve">Grid 0.9x / $60</t>
  </si>
  <si>
    <t xml:space="preserve">Grid 0.9x / $70</t>
  </si>
  <si>
    <t xml:space="preserve">Grid 0.9x / $80</t>
  </si>
  <si>
    <t xml:space="preserve">Grid 0.9x / $90</t>
  </si>
  <si>
    <t xml:space="preserve">Grid 0.9x / $100</t>
  </si>
  <si>
    <t xml:space="preserve">Grid 0.9x / $110</t>
  </si>
  <si>
    <t xml:space="preserve">Grid 0.9x / $120</t>
  </si>
  <si>
    <t xml:space="preserve">Grid 1.0x / $60</t>
  </si>
  <si>
    <t xml:space="preserve">Grid 1.0x / $70</t>
  </si>
  <si>
    <t xml:space="preserve">Grid 1.0x / $80</t>
  </si>
  <si>
    <t xml:space="preserve">Grid 1.0x / $90</t>
  </si>
  <si>
    <t xml:space="preserve">Grid 1.0x / $100</t>
  </si>
  <si>
    <t xml:space="preserve">Grid 1.0x / $110</t>
  </si>
  <si>
    <t xml:space="preserve">Grid 1.0x / $120</t>
  </si>
  <si>
    <t xml:space="preserve">Grid 1.1x / $60</t>
  </si>
  <si>
    <t xml:space="preserve">Grid 1.1x / $70</t>
  </si>
  <si>
    <t xml:space="preserve">Grid 1.1x / $80</t>
  </si>
  <si>
    <t xml:space="preserve">Grid 1.1x / $90</t>
  </si>
  <si>
    <t xml:space="preserve">Grid 1.1x / $100</t>
  </si>
  <si>
    <t xml:space="preserve">Grid 1.1x / $110</t>
  </si>
  <si>
    <t xml:space="preserve">Grid 1.1x / $120</t>
  </si>
  <si>
    <t xml:space="preserve">Grid 1.2x / $60</t>
  </si>
  <si>
    <t xml:space="preserve">Grid 1.2x / $70</t>
  </si>
  <si>
    <t xml:space="preserve">Grid 1.2x / $80</t>
  </si>
  <si>
    <t xml:space="preserve">Grid 1.2x / $90</t>
  </si>
  <si>
    <t xml:space="preserve">Grid 1.2x / $100</t>
  </si>
  <si>
    <t xml:space="preserve">Grid 1.2x / $110</t>
  </si>
  <si>
    <t xml:space="preserve">Grid 1.2x / $120</t>
  </si>
  <si>
    <t xml:space="preserve">Grid 1.3x / $60</t>
  </si>
  <si>
    <t xml:space="preserve">Grid 1.3x / $70</t>
  </si>
  <si>
    <t xml:space="preserve">Grid 1.3x / $80</t>
  </si>
  <si>
    <t xml:space="preserve">Grid 1.3x / $90</t>
  </si>
  <si>
    <t xml:space="preserve">Grid 1.3x / $100</t>
  </si>
  <si>
    <t xml:space="preserve">Grid 1.3x / $110</t>
  </si>
  <si>
    <t xml:space="preserve">Grid 1.3x / $120</t>
  </si>
  <si>
    <t xml:space="preserve">SPEED CASES (speed x Brent)</t>
  </si>
  <si>
    <t xml:space="preserve">Speed 10.0 / $65</t>
  </si>
  <si>
    <t xml:space="preserve">speed</t>
  </si>
  <si>
    <t xml:space="preserve">Speed 10.5 / $65</t>
  </si>
  <si>
    <t xml:space="preserve">Speed 11.0 / $65</t>
  </si>
  <si>
    <t xml:space="preserve">Speed 11.5 / $65</t>
  </si>
  <si>
    <t xml:space="preserve">Speed 12.0 / $65</t>
  </si>
  <si>
    <t xml:space="preserve">Speed 12.5 / $65</t>
  </si>
  <si>
    <t xml:space="preserve">Speed 13.0 / $65</t>
  </si>
  <si>
    <t xml:space="preserve">Speed 13.5 / $65</t>
  </si>
  <si>
    <t xml:space="preserve">Speed 14.0 / $65</t>
  </si>
  <si>
    <t xml:space="preserve">Speed 14.5 / $65</t>
  </si>
  <si>
    <t xml:space="preserve">Speed 15.0 / $65</t>
  </si>
  <si>
    <t xml:space="preserve">Speed 10.0 / $82</t>
  </si>
  <si>
    <t xml:space="preserve">Speed 10.5 / $82</t>
  </si>
  <si>
    <t xml:space="preserve">Speed 11.0 / $82</t>
  </si>
  <si>
    <t xml:space="preserve">Speed 11.5 / $82</t>
  </si>
  <si>
    <t xml:space="preserve">Speed 12.0 / $82</t>
  </si>
  <si>
    <t xml:space="preserve">Speed 12.5 / $82</t>
  </si>
  <si>
    <t xml:space="preserve">Speed 13.0 / $82</t>
  </si>
  <si>
    <t xml:space="preserve">Speed 13.5 / $82</t>
  </si>
  <si>
    <t xml:space="preserve">Speed 14.0 / $82</t>
  </si>
  <si>
    <t xml:space="preserve">Speed 14.5 / $82</t>
  </si>
  <si>
    <t xml:space="preserve">Speed 15.0 / $82</t>
  </si>
  <si>
    <t xml:space="preserve">Speed 10.0 / $104</t>
  </si>
  <si>
    <t xml:space="preserve">Speed 10.5 / $104</t>
  </si>
  <si>
    <t xml:space="preserve">Speed 11.0 / $104</t>
  </si>
  <si>
    <t xml:space="preserve">Speed 11.5 / $104</t>
  </si>
  <si>
    <t xml:space="preserve">Speed 12.0 / $104</t>
  </si>
  <si>
    <t xml:space="preserve">Speed 12.5 / $104</t>
  </si>
  <si>
    <t xml:space="preserve">Speed 13.0 / $104</t>
  </si>
  <si>
    <t xml:space="preserve">Speed 13.5 / $104</t>
  </si>
  <si>
    <t xml:space="preserve">Speed 14.0 / $104</t>
  </si>
  <si>
    <t xml:space="preserve">Speed 14.5 / $104</t>
  </si>
  <si>
    <t xml:space="preserve">Speed 15.0 / $104</t>
  </si>
  <si>
    <t xml:space="preserve">Brent crude spot price, monthly average (US$/bbl)</t>
  </si>
  <si>
    <t xml:space="preserve">Source: FRED series MCOILBRENTEU (EIA, Europe Brent Spot Price FOB), https://fred.stlouisfed.org/series/MCOILBRENTEU, retrieved 17-Sep-2026. Used as the bunker-price driver.</t>
  </si>
  <si>
    <t xml:space="preserve">Month</t>
  </si>
  <si>
    <t xml:space="preserve">Statistic</t>
  </si>
  <si>
    <t xml:space="preserve">Definition</t>
  </si>
  <si>
    <t xml:space="preserve">Count of months</t>
  </si>
  <si>
    <t xml:space="preserve">Latest month value</t>
  </si>
  <si>
    <t xml:space="preserve">Last observation</t>
  </si>
  <si>
    <t xml:space="preserve">Trailing 12-month average</t>
  </si>
  <si>
    <t xml:space="preserve">Base-case bunker driver</t>
  </si>
  <si>
    <t xml:space="preserve">5-year average</t>
  </si>
  <si>
    <t xml:space="preserve">Last 60 months</t>
  </si>
  <si>
    <t xml:space="preserve">5-year P10</t>
  </si>
  <si>
    <t xml:space="preserve">Tornado low</t>
  </si>
  <si>
    <t xml:space="preserve">5-year P90</t>
  </si>
  <si>
    <t xml:space="preserve">Tornado high</t>
  </si>
  <si>
    <t xml:space="preserve">5-year minimum</t>
  </si>
  <si>
    <t xml:space="preserve">5-year maximum</t>
  </si>
  <si>
    <t xml:space="preserve">Note: values transcribed from the FRED text file via a web tool on 17-Sep-2026; re-download the CSV to confirm before publishing.</t>
  </si>
  <si>
    <t xml:space="preserve">BLS Producer Price Index — Deep Sea Freight Transportation (Dec-2008 = 100)</t>
  </si>
  <si>
    <t xml:space="preserve">Source: BLS series WPU30130101 via FRED, https://fred.stlouisfed.org/series/WPU30130101, file supplied in tanker_voyage_data/freight_rates (retrieved Sep-2026). A broad freight proxy, NOT a chemical-tanker rate.</t>
  </si>
  <si>
    <t xml:space="preserve">Index</t>
  </si>
  <si>
    <t xml:space="preserve">YoY change</t>
  </si>
  <si>
    <t xml:space="preserve">Latest index value</t>
  </si>
  <si>
    <t xml:space="preserve">Jun-2026</t>
  </si>
  <si>
    <t xml:space="preserve">YoY change P10 (2016+)</t>
  </si>
  <si>
    <t xml:space="preserve">Weak-market freight band</t>
  </si>
  <si>
    <t xml:space="preserve">YoY change P90 (2016+)</t>
  </si>
  <si>
    <t xml:space="preserve">Strong-market freight band</t>
  </si>
  <si>
    <t xml:space="preserve">Freight lever low (x)</t>
  </si>
  <si>
    <t xml:space="preserve">Tornado low multiplier</t>
  </si>
  <si>
    <t xml:space="preserve">Freight lever high (x)</t>
  </si>
  <si>
    <t xml:space="preserve">Tornado high multiplier</t>
  </si>
  <si>
    <t xml:space="preserve">Why this series: public chemical-tanker rate assessments are subscription-only. The PPI's year-on-year distribution is used only to size a plausible freight-rate band; spot chemical rates are more volatile, so this band is likely conservative.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</si>
</sst>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.0;\(#,##0.0\);\-"/>
    <numFmt numFmtId="166" formatCode="\$#,##0;&quot;($&quot;#,##0\);\-"/>
    <numFmt numFmtId="167" formatCode="\$#,##0.00;&quot;($&quot;#,##0.00\);\-"/>
    <numFmt numFmtId="168" formatCode="#,##0.00;\(#,##0.00\);\-"/>
    <numFmt numFmtId="169" formatCode="0.00\x"/>
    <numFmt numFmtId="170" formatCode="0.0%;\(0.0%\);\-"/>
    <numFmt numFmtId="171" formatCode="#,##0;\(#,##0\);\-"/>
    <numFmt numFmtId="172" formatCode="0.000"/>
    <numFmt numFmtId="173" formatCode="0.0000"/>
    <numFmt numFmtId="174" formatCode="0.00%"/>
    <numFmt numFmtId="175" formatCode="General"/>
    <numFmt numFmtId="176" formatCode="#,##0.00"/>
    <numFmt numFmtId="177" formatCode="#,##0"/>
    <numFmt numFmtId="178" formatCode="mmm\-yyyy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1"/>
      <color rgb="FF40404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8EEF5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F3A5F"/>
        <bgColor rgb="FF40404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BB59"/>
      <rgbColor rgb="FF800080"/>
      <rgbColor rgb="FF4F81BD"/>
      <rgbColor rgb="FFBFBFBF"/>
      <rgbColor rgb="FF7F7F7F"/>
      <rgbColor rgb="FFA6A6A6"/>
      <rgbColor rgb="FFBE4B48"/>
      <rgbColor rgb="FFFFF2CC"/>
      <rgbColor rgb="FFE8EE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8064A2"/>
      <rgbColor rgb="FFFCE4D6"/>
      <rgbColor rgb="FF2E75B6"/>
      <rgbColor rgb="FF4BACC6"/>
      <rgbColor rgb="FF98B855"/>
      <rgbColor rgb="FFFFC000"/>
      <rgbColor rgb="FFFF9900"/>
      <rgbColor rgb="FFFF6600"/>
      <rgbColor rgb="FF7D5FA0"/>
      <rgbColor rgb="FF878787"/>
      <rgbColor rgb="FF1F3A5F"/>
      <rgbColor rgb="FF4A7EBB"/>
      <rgbColor rgb="FF003300"/>
      <rgbColor rgb="FF333300"/>
      <rgbColor rgb="FF993300"/>
      <rgbColor rgb="FFC0504D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Voyage cost build-up by route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Voyage_PnL!I7</c:f>
              <c:strCache>
                <c:ptCount val="1"/>
                <c:pt idx="0">
                  <c:v>Bunkers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Voyage_PnL!$F$8:$F$11</c:f>
              <c:strCache>
                <c:ptCount val="4"/>
                <c:pt idx="0">
                  <c:v>USG-ARA transatlantic</c:v>
                </c:pt>
                <c:pt idx="1">
                  <c:v>USG-Far East via Panama</c:v>
                </c:pt>
                <c:pt idx="2">
                  <c:v>ARA-India WC via Suez</c:v>
                </c:pt>
                <c:pt idx="3">
                  <c:v>ARA-India WC via Cape</c:v>
                </c:pt>
              </c:strCache>
            </c:strRef>
          </c:cat>
          <c:val>
            <c:numRef>
              <c:f>Voyage_PnL!$I$8:$I$11</c:f>
              <c:numCache>
                <c:formatCode>\$#,##0;"($"#,##0\);\-</c:formatCode>
                <c:ptCount val="4"/>
                <c:pt idx="0">
                  <c:v>652340.344</c:v>
                </c:pt>
                <c:pt idx="1">
                  <c:v>1167607.12375</c:v>
                </c:pt>
                <c:pt idx="2">
                  <c:v>795786.08525</c:v>
                </c:pt>
                <c:pt idx="3">
                  <c:v>1283528.25875</c:v>
                </c:pt>
              </c:numCache>
            </c:numRef>
          </c:val>
        </c:ser>
        <c:ser>
          <c:idx val="1"/>
          <c:order val="1"/>
          <c:tx>
            <c:strRef>
              <c:f>Voyage_PnL!J7</c:f>
              <c:strCache>
                <c:ptCount val="1"/>
                <c:pt idx="0">
                  <c:v>Port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Voyage_PnL!$F$8:$F$11</c:f>
              <c:strCache>
                <c:ptCount val="4"/>
                <c:pt idx="0">
                  <c:v>USG-ARA transatlantic</c:v>
                </c:pt>
                <c:pt idx="1">
                  <c:v>USG-Far East via Panama</c:v>
                </c:pt>
                <c:pt idx="2">
                  <c:v>ARA-India WC via Suez</c:v>
                </c:pt>
                <c:pt idx="3">
                  <c:v>ARA-India WC via Cape</c:v>
                </c:pt>
              </c:strCache>
            </c:strRef>
          </c:cat>
          <c:val>
            <c:numRef>
              <c:f>Voyage_PnL!$J$8:$J$11</c:f>
              <c:numCache>
                <c:formatCode>\$#,##0;"($"#,##0\);\-</c:formatCode>
                <c:ptCount val="4"/>
                <c:pt idx="0">
                  <c:v>252304.2096</c:v>
                </c:pt>
                <c:pt idx="1">
                  <c:v>260742</c:v>
                </c:pt>
                <c:pt idx="2">
                  <c:v>231562.2096</c:v>
                </c:pt>
                <c:pt idx="3">
                  <c:v>231562.2096</c:v>
                </c:pt>
              </c:numCache>
            </c:numRef>
          </c:val>
        </c:ser>
        <c:ser>
          <c:idx val="2"/>
          <c:order val="2"/>
          <c:tx>
            <c:strRef>
              <c:f>Voyage_PnL!K7</c:f>
              <c:strCache>
                <c:ptCount val="1"/>
                <c:pt idx="0">
                  <c:v>Canal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Voyage_PnL!$F$8:$F$11</c:f>
              <c:strCache>
                <c:ptCount val="4"/>
                <c:pt idx="0">
                  <c:v>USG-ARA transatlantic</c:v>
                </c:pt>
                <c:pt idx="1">
                  <c:v>USG-Far East via Panama</c:v>
                </c:pt>
                <c:pt idx="2">
                  <c:v>ARA-India WC via Suez</c:v>
                </c:pt>
                <c:pt idx="3">
                  <c:v>ARA-India WC via Cape</c:v>
                </c:pt>
              </c:strCache>
            </c:strRef>
          </c:cat>
          <c:val>
            <c:numRef>
              <c:f>Voyage_PnL!$K$8:$K$11</c:f>
              <c:numCache>
                <c:formatCode>\$#,##0;"($"#,##0\);\-</c:formatCode>
                <c:ptCount val="4"/>
                <c:pt idx="0">
                  <c:v>0</c:v>
                </c:pt>
                <c:pt idx="1">
                  <c:v>426920</c:v>
                </c:pt>
                <c:pt idx="2">
                  <c:v>752016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Voyage_PnL!L7</c:f>
              <c:strCache>
                <c:ptCount val="1"/>
                <c:pt idx="0">
                  <c:v>EU ETS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Voyage_PnL!$F$8:$F$11</c:f>
              <c:strCache>
                <c:ptCount val="4"/>
                <c:pt idx="0">
                  <c:v>USG-ARA transatlantic</c:v>
                </c:pt>
                <c:pt idx="1">
                  <c:v>USG-Far East via Panama</c:v>
                </c:pt>
                <c:pt idx="2">
                  <c:v>ARA-India WC via Suez</c:v>
                </c:pt>
                <c:pt idx="3">
                  <c:v>ARA-India WC via Cape</c:v>
                </c:pt>
              </c:strCache>
            </c:strRef>
          </c:cat>
          <c:val>
            <c:numRef>
              <c:f>Voyage_PnL!$L$8:$L$11</c:f>
              <c:numCache>
                <c:formatCode>\$#,##0;"($"#,##0\);\-</c:formatCode>
                <c:ptCount val="4"/>
                <c:pt idx="0">
                  <c:v>123936.40875</c:v>
                </c:pt>
                <c:pt idx="1">
                  <c:v>0</c:v>
                </c:pt>
                <c:pt idx="2">
                  <c:v>154150.486875</c:v>
                </c:pt>
                <c:pt idx="3">
                  <c:v>255306.830625</c:v>
                </c:pt>
              </c:numCache>
            </c:numRef>
          </c:val>
        </c:ser>
        <c:ser>
          <c:idx val="4"/>
          <c:order val="4"/>
          <c:tx>
            <c:strRef>
              <c:f>Voyage_PnL!M7</c:f>
              <c:strCache>
                <c:ptCount val="1"/>
                <c:pt idx="0">
                  <c:v>Misc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Voyage_PnL!$F$8:$F$11</c:f>
              <c:strCache>
                <c:ptCount val="4"/>
                <c:pt idx="0">
                  <c:v>USG-ARA transatlantic</c:v>
                </c:pt>
                <c:pt idx="1">
                  <c:v>USG-Far East via Panama</c:v>
                </c:pt>
                <c:pt idx="2">
                  <c:v>ARA-India WC via Suez</c:v>
                </c:pt>
                <c:pt idx="3">
                  <c:v>ARA-India WC via Cape</c:v>
                </c:pt>
              </c:strCache>
            </c:strRef>
          </c:cat>
          <c:val>
            <c:numRef>
              <c:f>Voyage_PnL!$M$8:$M$11</c:f>
              <c:numCache>
                <c:formatCode>\$#,##0;"($"#,##0\);\-</c:formatCode>
                <c:ptCount val="4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25000</c:v>
                </c:pt>
              </c:numCache>
            </c:numRef>
          </c:val>
        </c:ser>
        <c:gapWidth val="150"/>
        <c:overlap val="100"/>
        <c:axId val="23942235"/>
        <c:axId val="80735535"/>
      </c:barChart>
      <c:catAx>
        <c:axId val="239422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35535"/>
        <c:crosses val="autoZero"/>
        <c:auto val="1"/>
        <c:lblAlgn val="ctr"/>
        <c:lblOffset val="100"/>
        <c:noMultiLvlLbl val="0"/>
      </c:catAx>
      <c:valAx>
        <c:axId val="807355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422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TCE by route ($/day)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Voyage_PnL!N7</c:f>
              <c:strCache>
                <c:ptCount val="1"/>
                <c:pt idx="0">
                  <c:v>TCE $/day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Voyage_PnL!$F$8:$F$11</c:f>
              <c:strCache>
                <c:ptCount val="4"/>
                <c:pt idx="0">
                  <c:v>USG-ARA transatlantic</c:v>
                </c:pt>
                <c:pt idx="1">
                  <c:v>USG-Far East via Panama</c:v>
                </c:pt>
                <c:pt idx="2">
                  <c:v>ARA-India WC via Suez</c:v>
                </c:pt>
                <c:pt idx="3">
                  <c:v>ARA-India WC via Cape</c:v>
                </c:pt>
              </c:strCache>
            </c:strRef>
          </c:cat>
          <c:val>
            <c:numRef>
              <c:f>Voyage_PnL!$N$8:$N$11</c:f>
              <c:numCache>
                <c:formatCode>\$#,##0;"($"#,##0\);\-</c:formatCode>
                <c:ptCount val="4"/>
                <c:pt idx="0">
                  <c:v>23574.1784232009</c:v>
                </c:pt>
                <c:pt idx="1">
                  <c:v>21529.1412938867</c:v>
                </c:pt>
                <c:pt idx="2">
                  <c:v>21396.4183368413</c:v>
                </c:pt>
                <c:pt idx="3">
                  <c:v>16495.6692035486</c:v>
                </c:pt>
              </c:numCache>
            </c:numRef>
          </c:val>
        </c:ser>
        <c:gapWidth val="150"/>
        <c:overlap val="0"/>
        <c:axId val="86795752"/>
        <c:axId val="26498832"/>
      </c:barChart>
      <c:catAx>
        <c:axId val="86795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98832"/>
        <c:crosses val="autoZero"/>
        <c:auto val="1"/>
        <c:lblAlgn val="ctr"/>
        <c:lblOffset val="100"/>
        <c:noMultiLvlLbl val="0"/>
      </c:catAx>
      <c:valAx>
        <c:axId val="264988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7957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Tornado: change in TCE vs base ($/day)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Sensitivity!B20</c:f>
              <c:strCache>
                <c:ptCount val="1"/>
                <c:pt idx="0">
                  <c:v>Low -&gt; TCE change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Sensitivity!$A$21:$A$28</c:f>
              <c:strCache>
                <c:ptCount val="8"/>
                <c:pt idx="0">
                  <c:v>Freight rate (market)</c:v>
                </c:pt>
                <c:pt idx="1">
                  <c:v>Backhaul utilization</c:v>
                </c:pt>
                <c:pt idx="2">
                  <c:v>Port time (congestion)</c:v>
                </c:pt>
                <c:pt idx="3">
                  <c:v>Fronthaul utilization</c:v>
                </c:pt>
                <c:pt idx="4">
                  <c:v>Bunker price (Brent)</c:v>
                </c:pt>
                <c:pt idx="5">
                  <c:v>Port disbursements</c:v>
                </c:pt>
                <c:pt idx="6">
                  <c:v>Service speed</c:v>
                </c:pt>
                <c:pt idx="7">
                  <c:v>EU carbon price (EUA)</c:v>
                </c:pt>
              </c:strCache>
            </c:strRef>
          </c:cat>
          <c:val>
            <c:numRef>
              <c:f>Sensitivity!$B$21:$B$28</c:f>
              <c:numCache>
                <c:formatCode>\$#,##0;"($"#,##0\);\-</c:formatCode>
                <c:ptCount val="8"/>
                <c:pt idx="0">
                  <c:v>-4040.86776611695</c:v>
                </c:pt>
                <c:pt idx="1">
                  <c:v>-6629.53255772114</c:v>
                </c:pt>
                <c:pt idx="2">
                  <c:v>2931.0147968524</c:v>
                </c:pt>
                <c:pt idx="3">
                  <c:v>-5469.60109385308</c:v>
                </c:pt>
                <c:pt idx="4">
                  <c:v>2258.77531034482</c:v>
                </c:pt>
                <c:pt idx="5">
                  <c:v>1276.65173523238</c:v>
                </c:pt>
                <c:pt idx="6">
                  <c:v>899.093276438249</c:v>
                </c:pt>
                <c:pt idx="7">
                  <c:v>836.152682721138</c:v>
                </c:pt>
              </c:numCache>
            </c:numRef>
          </c:val>
        </c:ser>
        <c:ser>
          <c:idx val="1"/>
          <c:order val="1"/>
          <c:tx>
            <c:strRef>
              <c:f>Sensitivity!C20</c:f>
              <c:strCache>
                <c:ptCount val="1"/>
                <c:pt idx="0">
                  <c:v>High -&gt; TCE change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Sensitivity!$A$21:$A$28</c:f>
              <c:strCache>
                <c:ptCount val="8"/>
                <c:pt idx="0">
                  <c:v>Freight rate (market)</c:v>
                </c:pt>
                <c:pt idx="1">
                  <c:v>Backhaul utilization</c:v>
                </c:pt>
                <c:pt idx="2">
                  <c:v>Port time (congestion)</c:v>
                </c:pt>
                <c:pt idx="3">
                  <c:v>Fronthaul utilization</c:v>
                </c:pt>
                <c:pt idx="4">
                  <c:v>Bunker price (Brent)</c:v>
                </c:pt>
                <c:pt idx="5">
                  <c:v>Port disbursements</c:v>
                </c:pt>
                <c:pt idx="6">
                  <c:v>Service speed</c:v>
                </c:pt>
                <c:pt idx="7">
                  <c:v>EU carbon price (EUA)</c:v>
                </c:pt>
              </c:strCache>
            </c:strRef>
          </c:cat>
          <c:val>
            <c:numRef>
              <c:f>Sensitivity!$C$21:$C$28</c:f>
              <c:numCache>
                <c:formatCode>\$#,##0;"($"#,##0\);\-</c:formatCode>
                <c:ptCount val="8"/>
                <c:pt idx="0">
                  <c:v>11224.6326836582</c:v>
                </c:pt>
                <c:pt idx="1">
                  <c:v>6629.53255772113</c:v>
                </c:pt>
                <c:pt idx="2">
                  <c:v>-6268.80534675223</c:v>
                </c:pt>
                <c:pt idx="3">
                  <c:v>3684.55347213193</c:v>
                </c:pt>
                <c:pt idx="4">
                  <c:v>-3675.54100749626</c:v>
                </c:pt>
                <c:pt idx="5">
                  <c:v>-1276.65173523239</c:v>
                </c:pt>
                <c:pt idx="6">
                  <c:v>-1110.87109475025</c:v>
                </c:pt>
                <c:pt idx="7">
                  <c:v>-1170.6137558096</c:v>
                </c:pt>
              </c:numCache>
            </c:numRef>
          </c:val>
        </c:ser>
        <c:gapWidth val="150"/>
        <c:overlap val="100"/>
        <c:axId val="33109296"/>
        <c:axId val="77303901"/>
      </c:barChart>
      <c:catAx>
        <c:axId val="3310929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303901"/>
        <c:crosses val="autoZero"/>
        <c:auto val="1"/>
        <c:lblAlgn val="ctr"/>
        <c:lblOffset val="100"/>
        <c:noMultiLvlLbl val="0"/>
      </c:catAx>
      <c:valAx>
        <c:axId val="7730390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092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TCE change for +10% in each lever ($/day)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Sensitivity!D33</c:f>
              <c:strCache>
                <c:ptCount val="1"/>
                <c:pt idx="0">
                  <c:v>TCE change $/day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Sensitivity!$A$34:$A$40</c:f>
              <c:strCache>
                <c:ptCount val="7"/>
                <c:pt idx="0">
                  <c:v>Freight rate</c:v>
                </c:pt>
                <c:pt idx="1">
                  <c:v>Bunker price</c:v>
                </c:pt>
                <c:pt idx="2">
                  <c:v>Port time</c:v>
                </c:pt>
                <c:pt idx="3">
                  <c:v>Fronthaul utilization</c:v>
                </c:pt>
                <c:pt idx="4">
                  <c:v>Backhaul utilization</c:v>
                </c:pt>
                <c:pt idx="5">
                  <c:v>Service speed</c:v>
                </c:pt>
                <c:pt idx="6">
                  <c:v>Port disbursements</c:v>
                </c:pt>
              </c:strCache>
            </c:strRef>
          </c:cat>
          <c:val>
            <c:numRef>
              <c:f>Sensitivity!$D$34:$D$40</c:f>
              <c:numCache>
                <c:formatCode>\$#,##0;"($"#,##0\);\-</c:formatCode>
                <c:ptCount val="7"/>
                <c:pt idx="0">
                  <c:v>4489.85307346327</c:v>
                </c:pt>
                <c:pt idx="1">
                  <c:v>-1320.32903208397</c:v>
                </c:pt>
                <c:pt idx="2">
                  <c:v>-1024.03652179501</c:v>
                </c:pt>
                <c:pt idx="3">
                  <c:v>3130.42603585007</c:v>
                </c:pt>
                <c:pt idx="4">
                  <c:v>1325.90651154422</c:v>
                </c:pt>
                <c:pt idx="5">
                  <c:v>-1596.88199374135</c:v>
                </c:pt>
                <c:pt idx="6">
                  <c:v>-510.66069409296</c:v>
                </c:pt>
              </c:numCache>
            </c:numRef>
          </c:val>
        </c:ser>
        <c:gapWidth val="150"/>
        <c:overlap val="0"/>
        <c:axId val="8983398"/>
        <c:axId val="75791022"/>
      </c:barChart>
      <c:catAx>
        <c:axId val="898339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91022"/>
        <c:crosses val="autoZero"/>
        <c:auto val="1"/>
        <c:lblAlgn val="ctr"/>
        <c:lblOffset val="100"/>
        <c:noMultiLvlLbl val="0"/>
      </c:catAx>
      <c:valAx>
        <c:axId val="757910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833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Break-even FH rate vs Brent, by port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Breakeven!B6</c:f>
              <c:strCache>
                <c:ptCount val="1"/>
                <c:pt idx="0">
                  <c:v>1.0x port time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Breakeven!$A$7:$A$15</c:f>
              <c:strCache>
                <c:ptCount val="9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</c:strCache>
            </c:strRef>
          </c:cat>
          <c:val>
            <c:numRef>
              <c:f>Breakeven!$B$7:$B$15</c:f>
              <c:numCache>
                <c:formatCode>\$#,##0.00;"($"#,##0.00\);\-</c:formatCode>
                <c:ptCount val="9"/>
                <c:pt idx="0">
                  <c:v>34.2347562152952</c:v>
                </c:pt>
                <c:pt idx="1">
                  <c:v>36.9008865990727</c:v>
                </c:pt>
                <c:pt idx="2">
                  <c:v>39.5670169828501</c:v>
                </c:pt>
                <c:pt idx="3">
                  <c:v>42.2331473666276</c:v>
                </c:pt>
                <c:pt idx="4">
                  <c:v>44.899277750405</c:v>
                </c:pt>
                <c:pt idx="5">
                  <c:v>47.5654081341824</c:v>
                </c:pt>
                <c:pt idx="6">
                  <c:v>50.2315385179599</c:v>
                </c:pt>
                <c:pt idx="7">
                  <c:v>52.8976689017373</c:v>
                </c:pt>
                <c:pt idx="8">
                  <c:v>55.5637992855148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Breakeven!C6</c:f>
              <c:strCache>
                <c:ptCount val="1"/>
                <c:pt idx="0">
                  <c:v>1.5x port time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Breakeven!$A$7:$A$15</c:f>
              <c:strCache>
                <c:ptCount val="9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</c:strCache>
            </c:strRef>
          </c:cat>
          <c:val>
            <c:numRef>
              <c:f>Breakeven!$C$7:$C$15</c:f>
              <c:numCache>
                <c:formatCode>\$#,##0.00;"($"#,##0.00\);\-</c:formatCode>
                <c:ptCount val="9"/>
                <c:pt idx="0">
                  <c:v>40.8528824093626</c:v>
                </c:pt>
                <c:pt idx="1">
                  <c:v>43.684824758952</c:v>
                </c:pt>
                <c:pt idx="2">
                  <c:v>46.5167671085414</c:v>
                </c:pt>
                <c:pt idx="3">
                  <c:v>49.3487094581308</c:v>
                </c:pt>
                <c:pt idx="4">
                  <c:v>52.1806518077202</c:v>
                </c:pt>
                <c:pt idx="5">
                  <c:v>55.0125941573096</c:v>
                </c:pt>
                <c:pt idx="6">
                  <c:v>57.8445365068991</c:v>
                </c:pt>
                <c:pt idx="7">
                  <c:v>60.6764788564885</c:v>
                </c:pt>
                <c:pt idx="8">
                  <c:v>63.5084212060779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Breakeven!D6</c:f>
              <c:strCache>
                <c:ptCount val="1"/>
                <c:pt idx="0">
                  <c:v>2.0x port time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Breakeven!$A$7:$A$15</c:f>
              <c:strCache>
                <c:ptCount val="9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</c:strCache>
            </c:strRef>
          </c:cat>
          <c:val>
            <c:numRef>
              <c:f>Breakeven!$D$7:$D$15</c:f>
              <c:numCache>
                <c:formatCode>\$#,##0.00;"($"#,##0.00\);\-</c:formatCode>
                <c:ptCount val="9"/>
                <c:pt idx="0">
                  <c:v>47.357986984526</c:v>
                </c:pt>
                <c:pt idx="1">
                  <c:v>50.3557412999274</c:v>
                </c:pt>
                <c:pt idx="2">
                  <c:v>53.3534956153287</c:v>
                </c:pt>
                <c:pt idx="3">
                  <c:v>56.3512499307301</c:v>
                </c:pt>
                <c:pt idx="4">
                  <c:v>59.3490042461315</c:v>
                </c:pt>
                <c:pt idx="5">
                  <c:v>62.3467585615329</c:v>
                </c:pt>
                <c:pt idx="6">
                  <c:v>65.3445128769343</c:v>
                </c:pt>
                <c:pt idx="7">
                  <c:v>68.3422671923356</c:v>
                </c:pt>
                <c:pt idx="8">
                  <c:v>71.340021507737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1650213"/>
        <c:axId val="8920406"/>
      </c:lineChart>
      <c:catAx>
        <c:axId val="916502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Brent $/bbl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0406"/>
        <c:crosses val="autoZero"/>
        <c:auto val="1"/>
        <c:lblAlgn val="ctr"/>
        <c:lblOffset val="100"/>
        <c:noMultiLvlLbl val="0"/>
      </c:catAx>
      <c:valAx>
        <c:axId val="89204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$/t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6502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Break-even FH rate vs Brent, by utilization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Breakeven!B20</c:f>
              <c:strCache>
                <c:ptCount val="1"/>
                <c:pt idx="0">
                  <c:v>70% utilization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Breakeven!$A$21:$A$29</c:f>
              <c:strCache>
                <c:ptCount val="9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</c:strCache>
            </c:strRef>
          </c:cat>
          <c:val>
            <c:numRef>
              <c:f>Breakeven!$B$21:$B$29</c:f>
              <c:numCache>
                <c:formatCode>\$#,##0.00;"($"#,##0.00\);\-</c:formatCode>
                <c:ptCount val="9"/>
                <c:pt idx="0">
                  <c:v>41.4266488108805</c:v>
                </c:pt>
                <c:pt idx="1">
                  <c:v>44.6640928483245</c:v>
                </c:pt>
                <c:pt idx="2">
                  <c:v>47.9015368857686</c:v>
                </c:pt>
                <c:pt idx="3">
                  <c:v>51.1389809232126</c:v>
                </c:pt>
                <c:pt idx="4">
                  <c:v>54.3764249606566</c:v>
                </c:pt>
                <c:pt idx="5">
                  <c:v>57.6138689981007</c:v>
                </c:pt>
                <c:pt idx="6">
                  <c:v>60.8513130355447</c:v>
                </c:pt>
                <c:pt idx="7">
                  <c:v>64.0887570729887</c:v>
                </c:pt>
                <c:pt idx="8">
                  <c:v>67.3262011104328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Breakeven!C20</c:f>
              <c:strCache>
                <c:ptCount val="1"/>
                <c:pt idx="0">
                  <c:v>85% utilization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Breakeven!$A$21:$A$29</c:f>
              <c:strCache>
                <c:ptCount val="9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</c:strCache>
            </c:strRef>
          </c:cat>
          <c:val>
            <c:numRef>
              <c:f>Breakeven!$C$21:$C$29</c:f>
              <c:numCache>
                <c:formatCode>\$#,##0.00;"($"#,##0.00\);\-</c:formatCode>
                <c:ptCount val="9"/>
                <c:pt idx="0">
                  <c:v>34.2347562152952</c:v>
                </c:pt>
                <c:pt idx="1">
                  <c:v>36.9008865990727</c:v>
                </c:pt>
                <c:pt idx="2">
                  <c:v>39.5670169828501</c:v>
                </c:pt>
                <c:pt idx="3">
                  <c:v>42.2331473666276</c:v>
                </c:pt>
                <c:pt idx="4">
                  <c:v>44.899277750405</c:v>
                </c:pt>
                <c:pt idx="5">
                  <c:v>47.5654081341824</c:v>
                </c:pt>
                <c:pt idx="6">
                  <c:v>50.2315385179599</c:v>
                </c:pt>
                <c:pt idx="7">
                  <c:v>52.8976689017373</c:v>
                </c:pt>
                <c:pt idx="8">
                  <c:v>55.5637992855148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Breakeven!D20</c:f>
              <c:strCache>
                <c:ptCount val="1"/>
                <c:pt idx="0">
                  <c:v>95% utilization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Breakeven!$A$21:$A$29</c:f>
              <c:strCache>
                <c:ptCount val="9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</c:strCache>
            </c:strRef>
          </c:cat>
          <c:val>
            <c:numRef>
              <c:f>Breakeven!$D$21:$D$29</c:f>
              <c:numCache>
                <c:formatCode>\$#,##0.00;"($"#,##0.00\);\-</c:formatCode>
                <c:ptCount val="9"/>
                <c:pt idx="0">
                  <c:v>30.645365637167</c:v>
                </c:pt>
                <c:pt idx="1">
                  <c:v>33.0308507173889</c:v>
                </c:pt>
                <c:pt idx="2">
                  <c:v>35.4163357976108</c:v>
                </c:pt>
                <c:pt idx="3">
                  <c:v>37.8018208778328</c:v>
                </c:pt>
                <c:pt idx="4">
                  <c:v>40.1873059580547</c:v>
                </c:pt>
                <c:pt idx="5">
                  <c:v>42.5727910382766</c:v>
                </c:pt>
                <c:pt idx="6">
                  <c:v>44.9582761184985</c:v>
                </c:pt>
                <c:pt idx="7">
                  <c:v>47.3437611987204</c:v>
                </c:pt>
                <c:pt idx="8">
                  <c:v>49.7292462789424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345358"/>
        <c:axId val="40627353"/>
      </c:lineChart>
      <c:catAx>
        <c:axId val="743453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Brent $/bbl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27353"/>
        <c:crosses val="autoZero"/>
        <c:auto val="1"/>
        <c:lblAlgn val="ctr"/>
        <c:lblOffset val="100"/>
        <c:noMultiLvlLbl val="0"/>
      </c:catAx>
      <c:valAx>
        <c:axId val="406273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$/t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453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Break-even FH rate vs Brent, by route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Breakeven!B34</c:f>
              <c:strCache>
                <c:ptCount val="1"/>
                <c:pt idx="0">
                  <c:v>USG-ARA transatlantic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Breakeven!$A$35:$A$43</c:f>
              <c:strCache>
                <c:ptCount val="9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</c:strCache>
            </c:strRef>
          </c:cat>
          <c:val>
            <c:numRef>
              <c:f>Breakeven!$B$35:$B$43</c:f>
              <c:numCache>
                <c:formatCode>\$#,##0.00;"($"#,##0.00\);\-</c:formatCode>
                <c:ptCount val="9"/>
                <c:pt idx="0">
                  <c:v>34.2347562152952</c:v>
                </c:pt>
                <c:pt idx="1">
                  <c:v>36.9008865990727</c:v>
                </c:pt>
                <c:pt idx="2">
                  <c:v>39.5670169828501</c:v>
                </c:pt>
                <c:pt idx="3">
                  <c:v>42.2331473666276</c:v>
                </c:pt>
                <c:pt idx="4">
                  <c:v>44.899277750405</c:v>
                </c:pt>
                <c:pt idx="5">
                  <c:v>47.5654081341824</c:v>
                </c:pt>
                <c:pt idx="6">
                  <c:v>50.2315385179599</c:v>
                </c:pt>
                <c:pt idx="7">
                  <c:v>52.8976689017373</c:v>
                </c:pt>
                <c:pt idx="8">
                  <c:v>55.5637992855148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Breakeven!C34</c:f>
              <c:strCache>
                <c:ptCount val="1"/>
                <c:pt idx="0">
                  <c:v>USG-Far East via Panama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Breakeven!$A$35:$A$43</c:f>
              <c:strCache>
                <c:ptCount val="9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</c:strCache>
            </c:strRef>
          </c:cat>
          <c:val>
            <c:numRef>
              <c:f>Breakeven!$C$35:$C$43</c:f>
              <c:numCache>
                <c:formatCode>\$#,##0.00;"($"#,##0.00\);\-</c:formatCode>
                <c:ptCount val="9"/>
                <c:pt idx="0">
                  <c:v>66.9604184123792</c:v>
                </c:pt>
                <c:pt idx="1">
                  <c:v>71.7324562873583</c:v>
                </c:pt>
                <c:pt idx="2">
                  <c:v>76.5044941623373</c:v>
                </c:pt>
                <c:pt idx="3">
                  <c:v>81.2765320373164</c:v>
                </c:pt>
                <c:pt idx="4">
                  <c:v>86.0485699122954</c:v>
                </c:pt>
                <c:pt idx="5">
                  <c:v>90.8206077872745</c:v>
                </c:pt>
                <c:pt idx="6">
                  <c:v>95.5926456622535</c:v>
                </c:pt>
                <c:pt idx="7">
                  <c:v>100.364683537233</c:v>
                </c:pt>
                <c:pt idx="8">
                  <c:v>105.136721412212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Breakeven!D34</c:f>
              <c:strCache>
                <c:ptCount val="1"/>
                <c:pt idx="0">
                  <c:v>ARA-India WC via Suez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Breakeven!$A$35:$A$43</c:f>
              <c:strCache>
                <c:ptCount val="9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</c:strCache>
            </c:strRef>
          </c:cat>
          <c:val>
            <c:numRef>
              <c:f>Breakeven!$D$35:$D$43</c:f>
              <c:numCache>
                <c:formatCode>\$#,##0.00;"($"#,##0.00\);\-</c:formatCode>
                <c:ptCount val="9"/>
                <c:pt idx="0">
                  <c:v>57.9684357234233</c:v>
                </c:pt>
                <c:pt idx="1">
                  <c:v>61.2208322375845</c:v>
                </c:pt>
                <c:pt idx="2">
                  <c:v>64.4732287517457</c:v>
                </c:pt>
                <c:pt idx="3">
                  <c:v>67.7256252659069</c:v>
                </c:pt>
                <c:pt idx="4">
                  <c:v>70.9780217800682</c:v>
                </c:pt>
                <c:pt idx="5">
                  <c:v>74.2304182942294</c:v>
                </c:pt>
                <c:pt idx="6">
                  <c:v>77.4828148083906</c:v>
                </c:pt>
                <c:pt idx="7">
                  <c:v>80.7352113225518</c:v>
                </c:pt>
                <c:pt idx="8">
                  <c:v>83.987607836713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Breakeven!E34</c:f>
              <c:strCache>
                <c:ptCount val="1"/>
                <c:pt idx="0">
                  <c:v>ARA-India WC via Cape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Breakeven!$A$35:$A$43</c:f>
              <c:strCache>
                <c:ptCount val="9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</c:strCache>
            </c:strRef>
          </c:cat>
          <c:val>
            <c:numRef>
              <c:f>Breakeven!$E$35:$E$43</c:f>
              <c:numCache>
                <c:formatCode>\$#,##0.00;"($"#,##0.00\);\-</c:formatCode>
                <c:ptCount val="9"/>
                <c:pt idx="0">
                  <c:v>62.5103443458466</c:v>
                </c:pt>
                <c:pt idx="1">
                  <c:v>67.7561546357745</c:v>
                </c:pt>
                <c:pt idx="2">
                  <c:v>73.0019649257025</c:v>
                </c:pt>
                <c:pt idx="3">
                  <c:v>78.2477752156304</c:v>
                </c:pt>
                <c:pt idx="4">
                  <c:v>83.4935855055584</c:v>
                </c:pt>
                <c:pt idx="5">
                  <c:v>88.7393957954863</c:v>
                </c:pt>
                <c:pt idx="6">
                  <c:v>93.9852060854142</c:v>
                </c:pt>
                <c:pt idx="7">
                  <c:v>99.2310163753422</c:v>
                </c:pt>
                <c:pt idx="8">
                  <c:v>104.47682666527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499887"/>
        <c:axId val="44845393"/>
      </c:lineChart>
      <c:catAx>
        <c:axId val="334998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Brent $/bbl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45393"/>
        <c:crosses val="autoZero"/>
        <c:auto val="1"/>
        <c:lblAlgn val="ctr"/>
        <c:lblOffset val="100"/>
        <c:noMultiLvlLbl val="0"/>
      </c:catAx>
      <c:valAx>
        <c:axId val="448453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$/t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998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TCE vs speed at three bunker prices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Breakeven!B60</c:f>
              <c:strCache>
                <c:ptCount val="1"/>
                <c:pt idx="0">
                  <c:v>Brent $65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Breakeven!$A$61:$A$71</c:f>
              <c:strCache>
                <c:ptCount val="1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</c:strCache>
            </c:strRef>
          </c:cat>
          <c:val>
            <c:numRef>
              <c:f>Breakeven!$B$61:$B$71</c:f>
              <c:numCache>
                <c:formatCode>\$#,##0;"($"#,##0\);\-</c:formatCode>
                <c:ptCount val="11"/>
                <c:pt idx="0">
                  <c:v>25601.3014455023</c:v>
                </c:pt>
                <c:pt idx="1">
                  <c:v>25968.2655121317</c:v>
                </c:pt>
                <c:pt idx="2">
                  <c:v>26246.9776863633</c:v>
                </c:pt>
                <c:pt idx="3">
                  <c:v>26437.3163982511</c:v>
                </c:pt>
                <c:pt idx="4">
                  <c:v>26539.1665211512</c:v>
                </c:pt>
                <c:pt idx="5">
                  <c:v>26552.4189504287</c:v>
                </c:pt>
                <c:pt idx="6">
                  <c:v>26476.9702147934</c:v>
                </c:pt>
                <c:pt idx="7">
                  <c:v>26312.7221173538</c:v>
                </c:pt>
                <c:pt idx="8">
                  <c:v>26059.5814037712</c:v>
                </c:pt>
                <c:pt idx="9">
                  <c:v>25717.4594551563</c:v>
                </c:pt>
                <c:pt idx="10">
                  <c:v>25286.2720035834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Breakeven!C60</c:f>
              <c:strCache>
                <c:ptCount val="1"/>
                <c:pt idx="0">
                  <c:v>Brent $82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Breakeven!$A$61:$A$71</c:f>
              <c:strCache>
                <c:ptCount val="1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</c:strCache>
            </c:strRef>
          </c:cat>
          <c:val>
            <c:numRef>
              <c:f>Breakeven!$C$61:$C$71</c:f>
              <c:numCache>
                <c:formatCode>\$#,##0;"($"#,##0\);\-</c:formatCode>
                <c:ptCount val="11"/>
                <c:pt idx="0">
                  <c:v>24254.992804656</c:v>
                </c:pt>
                <c:pt idx="1">
                  <c:v>24460.6373976536</c:v>
                </c:pt>
                <c:pt idx="2">
                  <c:v>24566.0363435497</c:v>
                </c:pt>
                <c:pt idx="3">
                  <c:v>24570.7814647687</c:v>
                </c:pt>
                <c:pt idx="4">
                  <c:v>24474.4862174649</c:v>
                </c:pt>
                <c:pt idx="5">
                  <c:v>24276.7842770088</c:v>
                </c:pt>
                <c:pt idx="6">
                  <c:v>23977.328233027</c:v>
                </c:pt>
                <c:pt idx="7">
                  <c:v>23575.7883842204</c:v>
                </c:pt>
                <c:pt idx="8">
                  <c:v>23071.8516241739</c:v>
                </c:pt>
                <c:pt idx="9">
                  <c:v>22465.2204102418</c:v>
                </c:pt>
                <c:pt idx="10">
                  <c:v>21755.6118083701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Breakeven!D60</c:f>
              <c:strCache>
                <c:ptCount val="1"/>
                <c:pt idx="0">
                  <c:v>Brent $104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Breakeven!$A$61:$A$71</c:f>
              <c:strCache>
                <c:ptCount val="1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</c:strCache>
            </c:strRef>
          </c:cat>
          <c:val>
            <c:numRef>
              <c:f>Breakeven!$D$61:$D$71</c:f>
              <c:numCache>
                <c:formatCode>\$#,##0;"($"#,##0\);\-</c:formatCode>
                <c:ptCount val="11"/>
                <c:pt idx="0">
                  <c:v>22512.711034149</c:v>
                </c:pt>
                <c:pt idx="1">
                  <c:v>22509.5892495055</c:v>
                </c:pt>
                <c:pt idx="2">
                  <c:v>22390.7004881438</c:v>
                </c:pt>
                <c:pt idx="3">
                  <c:v>22155.2656684973</c:v>
                </c:pt>
                <c:pt idx="4">
                  <c:v>21802.5470009295</c:v>
                </c:pt>
                <c:pt idx="5">
                  <c:v>21331.8452878772</c:v>
                </c:pt>
                <c:pt idx="6">
                  <c:v>20742.4974330941</c:v>
                </c:pt>
                <c:pt idx="7">
                  <c:v>20033.8741413418</c:v>
                </c:pt>
                <c:pt idx="8">
                  <c:v>19205.3777917539</c:v>
                </c:pt>
                <c:pt idx="9">
                  <c:v>18256.4404697642</c:v>
                </c:pt>
                <c:pt idx="10">
                  <c:v>17186.5221439765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765493"/>
        <c:axId val="65119449"/>
      </c:lineChart>
      <c:catAx>
        <c:axId val="847654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knots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19449"/>
        <c:crosses val="autoZero"/>
        <c:auto val="1"/>
        <c:lblAlgn val="ctr"/>
        <c:lblOffset val="100"/>
        <c:noMultiLvlLbl val="0"/>
      </c:catAx>
      <c:valAx>
        <c:axId val="651194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$/day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654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Brent monthly average ($/bbl)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Data_Brent!B5</c:f>
              <c:strCache>
                <c:ptCount val="1"/>
                <c:pt idx="0">
                  <c:v>Brent $/bbl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Data_Brent!$A$6:$A$145</c:f>
              <c:strCache>
                <c:ptCount val="140"/>
                <c:pt idx="0">
                  <c:v>Jan-2015</c:v>
                </c:pt>
                <c:pt idx="1">
                  <c:v>Feb-2015</c:v>
                </c:pt>
                <c:pt idx="2">
                  <c:v>Mar-2015</c:v>
                </c:pt>
                <c:pt idx="3">
                  <c:v>Apr-2015</c:v>
                </c:pt>
                <c:pt idx="4">
                  <c:v>May-2015</c:v>
                </c:pt>
                <c:pt idx="5">
                  <c:v>Jun-2015</c:v>
                </c:pt>
                <c:pt idx="6">
                  <c:v>Jul-2015</c:v>
                </c:pt>
                <c:pt idx="7">
                  <c:v>Aug-2015</c:v>
                </c:pt>
                <c:pt idx="8">
                  <c:v>Sep-2015</c:v>
                </c:pt>
                <c:pt idx="9">
                  <c:v>Oct-2015</c:v>
                </c:pt>
                <c:pt idx="10">
                  <c:v>Nov-2015</c:v>
                </c:pt>
                <c:pt idx="11">
                  <c:v>Dec-2015</c:v>
                </c:pt>
                <c:pt idx="12">
                  <c:v>Jan-2016</c:v>
                </c:pt>
                <c:pt idx="13">
                  <c:v>Feb-2016</c:v>
                </c:pt>
                <c:pt idx="14">
                  <c:v>Mar-2016</c:v>
                </c:pt>
                <c:pt idx="15">
                  <c:v>Apr-2016</c:v>
                </c:pt>
                <c:pt idx="16">
                  <c:v>May-2016</c:v>
                </c:pt>
                <c:pt idx="17">
                  <c:v>Jun-2016</c:v>
                </c:pt>
                <c:pt idx="18">
                  <c:v>Jul-2016</c:v>
                </c:pt>
                <c:pt idx="19">
                  <c:v>Aug-2016</c:v>
                </c:pt>
                <c:pt idx="20">
                  <c:v>Sep-2016</c:v>
                </c:pt>
                <c:pt idx="21">
                  <c:v>Oct-2016</c:v>
                </c:pt>
                <c:pt idx="22">
                  <c:v>Nov-2016</c:v>
                </c:pt>
                <c:pt idx="23">
                  <c:v>Dec-2016</c:v>
                </c:pt>
                <c:pt idx="24">
                  <c:v>Jan-2017</c:v>
                </c:pt>
                <c:pt idx="25">
                  <c:v>Feb-2017</c:v>
                </c:pt>
                <c:pt idx="26">
                  <c:v>Mar-2017</c:v>
                </c:pt>
                <c:pt idx="27">
                  <c:v>Apr-2017</c:v>
                </c:pt>
                <c:pt idx="28">
                  <c:v>May-2017</c:v>
                </c:pt>
                <c:pt idx="29">
                  <c:v>Jun-2017</c:v>
                </c:pt>
                <c:pt idx="30">
                  <c:v>Jul-2017</c:v>
                </c:pt>
                <c:pt idx="31">
                  <c:v>Aug-2017</c:v>
                </c:pt>
                <c:pt idx="32">
                  <c:v>Sep-2017</c:v>
                </c:pt>
                <c:pt idx="33">
                  <c:v>Oct-2017</c:v>
                </c:pt>
                <c:pt idx="34">
                  <c:v>Nov-2017</c:v>
                </c:pt>
                <c:pt idx="35">
                  <c:v>Dec-2017</c:v>
                </c:pt>
                <c:pt idx="36">
                  <c:v>Jan-2018</c:v>
                </c:pt>
                <c:pt idx="37">
                  <c:v>Feb-2018</c:v>
                </c:pt>
                <c:pt idx="38">
                  <c:v>Mar-2018</c:v>
                </c:pt>
                <c:pt idx="39">
                  <c:v>Apr-2018</c:v>
                </c:pt>
                <c:pt idx="40">
                  <c:v>May-2018</c:v>
                </c:pt>
                <c:pt idx="41">
                  <c:v>Jun-2018</c:v>
                </c:pt>
                <c:pt idx="42">
                  <c:v>Jul-2018</c:v>
                </c:pt>
                <c:pt idx="43">
                  <c:v>Aug-2018</c:v>
                </c:pt>
                <c:pt idx="44">
                  <c:v>Sep-2018</c:v>
                </c:pt>
                <c:pt idx="45">
                  <c:v>Oct-2018</c:v>
                </c:pt>
                <c:pt idx="46">
                  <c:v>Nov-2018</c:v>
                </c:pt>
                <c:pt idx="47">
                  <c:v>Dec-2018</c:v>
                </c:pt>
                <c:pt idx="48">
                  <c:v>Jan-2019</c:v>
                </c:pt>
                <c:pt idx="49">
                  <c:v>Feb-2019</c:v>
                </c:pt>
                <c:pt idx="50">
                  <c:v>Mar-2019</c:v>
                </c:pt>
                <c:pt idx="51">
                  <c:v>Apr-2019</c:v>
                </c:pt>
                <c:pt idx="52">
                  <c:v>May-2019</c:v>
                </c:pt>
                <c:pt idx="53">
                  <c:v>Jun-2019</c:v>
                </c:pt>
                <c:pt idx="54">
                  <c:v>Jul-2019</c:v>
                </c:pt>
                <c:pt idx="55">
                  <c:v>Aug-2019</c:v>
                </c:pt>
                <c:pt idx="56">
                  <c:v>Sep-2019</c:v>
                </c:pt>
                <c:pt idx="57">
                  <c:v>Oct-2019</c:v>
                </c:pt>
                <c:pt idx="58">
                  <c:v>Nov-2019</c:v>
                </c:pt>
                <c:pt idx="59">
                  <c:v>Dec-2019</c:v>
                </c:pt>
                <c:pt idx="60">
                  <c:v>Jan-2020</c:v>
                </c:pt>
                <c:pt idx="61">
                  <c:v>Feb-2020</c:v>
                </c:pt>
                <c:pt idx="62">
                  <c:v>Mar-2020</c:v>
                </c:pt>
                <c:pt idx="63">
                  <c:v>Apr-2020</c:v>
                </c:pt>
                <c:pt idx="64">
                  <c:v>May-2020</c:v>
                </c:pt>
                <c:pt idx="65">
                  <c:v>Jun-2020</c:v>
                </c:pt>
                <c:pt idx="66">
                  <c:v>Jul-2020</c:v>
                </c:pt>
                <c:pt idx="67">
                  <c:v>Aug-2020</c:v>
                </c:pt>
                <c:pt idx="68">
                  <c:v>Sep-2020</c:v>
                </c:pt>
                <c:pt idx="69">
                  <c:v>Oct-2020</c:v>
                </c:pt>
                <c:pt idx="70">
                  <c:v>Nov-2020</c:v>
                </c:pt>
                <c:pt idx="71">
                  <c:v>Dec-2020</c:v>
                </c:pt>
                <c:pt idx="72">
                  <c:v>Jan-2021</c:v>
                </c:pt>
                <c:pt idx="73">
                  <c:v>Feb-2021</c:v>
                </c:pt>
                <c:pt idx="74">
                  <c:v>Mar-2021</c:v>
                </c:pt>
                <c:pt idx="75">
                  <c:v>Apr-2021</c:v>
                </c:pt>
                <c:pt idx="76">
                  <c:v>May-2021</c:v>
                </c:pt>
                <c:pt idx="77">
                  <c:v>Jun-2021</c:v>
                </c:pt>
                <c:pt idx="78">
                  <c:v>Jul-2021</c:v>
                </c:pt>
                <c:pt idx="79">
                  <c:v>Aug-2021</c:v>
                </c:pt>
                <c:pt idx="80">
                  <c:v>Sep-2021</c:v>
                </c:pt>
                <c:pt idx="81">
                  <c:v>Oct-2021</c:v>
                </c:pt>
                <c:pt idx="82">
                  <c:v>Nov-2021</c:v>
                </c:pt>
                <c:pt idx="83">
                  <c:v>Dec-2021</c:v>
                </c:pt>
                <c:pt idx="84">
                  <c:v>Jan-2022</c:v>
                </c:pt>
                <c:pt idx="85">
                  <c:v>Feb-2022</c:v>
                </c:pt>
                <c:pt idx="86">
                  <c:v>Mar-2022</c:v>
                </c:pt>
                <c:pt idx="87">
                  <c:v>Apr-2022</c:v>
                </c:pt>
                <c:pt idx="88">
                  <c:v>May-2022</c:v>
                </c:pt>
                <c:pt idx="89">
                  <c:v>Jun-2022</c:v>
                </c:pt>
                <c:pt idx="90">
                  <c:v>Jul-2022</c:v>
                </c:pt>
                <c:pt idx="91">
                  <c:v>Aug-2022</c:v>
                </c:pt>
                <c:pt idx="92">
                  <c:v>Sep-2022</c:v>
                </c:pt>
                <c:pt idx="93">
                  <c:v>Oct-2022</c:v>
                </c:pt>
                <c:pt idx="94">
                  <c:v>Nov-2022</c:v>
                </c:pt>
                <c:pt idx="95">
                  <c:v>Dec-2022</c:v>
                </c:pt>
                <c:pt idx="96">
                  <c:v>Jan-2023</c:v>
                </c:pt>
                <c:pt idx="97">
                  <c:v>Feb-2023</c:v>
                </c:pt>
                <c:pt idx="98">
                  <c:v>Mar-2023</c:v>
                </c:pt>
                <c:pt idx="99">
                  <c:v>Apr-2023</c:v>
                </c:pt>
                <c:pt idx="100">
                  <c:v>May-2023</c:v>
                </c:pt>
                <c:pt idx="101">
                  <c:v>Jun-2023</c:v>
                </c:pt>
                <c:pt idx="102">
                  <c:v>Jul-2023</c:v>
                </c:pt>
                <c:pt idx="103">
                  <c:v>Aug-2023</c:v>
                </c:pt>
                <c:pt idx="104">
                  <c:v>Sep-2023</c:v>
                </c:pt>
                <c:pt idx="105">
                  <c:v>Oct-2023</c:v>
                </c:pt>
                <c:pt idx="106">
                  <c:v>Nov-2023</c:v>
                </c:pt>
                <c:pt idx="107">
                  <c:v>Dec-2023</c:v>
                </c:pt>
                <c:pt idx="108">
                  <c:v>Jan-2024</c:v>
                </c:pt>
                <c:pt idx="109">
                  <c:v>Feb-2024</c:v>
                </c:pt>
                <c:pt idx="110">
                  <c:v>Mar-2024</c:v>
                </c:pt>
                <c:pt idx="111">
                  <c:v>Apr-2024</c:v>
                </c:pt>
                <c:pt idx="112">
                  <c:v>May-2024</c:v>
                </c:pt>
                <c:pt idx="113">
                  <c:v>Jun-2024</c:v>
                </c:pt>
                <c:pt idx="114">
                  <c:v>Jul-2024</c:v>
                </c:pt>
                <c:pt idx="115">
                  <c:v>Aug-2024</c:v>
                </c:pt>
                <c:pt idx="116">
                  <c:v>Sep-2024</c:v>
                </c:pt>
                <c:pt idx="117">
                  <c:v>Oct-2024</c:v>
                </c:pt>
                <c:pt idx="118">
                  <c:v>Nov-2024</c:v>
                </c:pt>
                <c:pt idx="119">
                  <c:v>Dec-2024</c:v>
                </c:pt>
                <c:pt idx="120">
                  <c:v>Jan-2025</c:v>
                </c:pt>
                <c:pt idx="121">
                  <c:v>Feb-2025</c:v>
                </c:pt>
                <c:pt idx="122">
                  <c:v>Mar-2025</c:v>
                </c:pt>
                <c:pt idx="123">
                  <c:v>Apr-2025</c:v>
                </c:pt>
                <c:pt idx="124">
                  <c:v>May-2025</c:v>
                </c:pt>
                <c:pt idx="125">
                  <c:v>Jun-2025</c:v>
                </c:pt>
                <c:pt idx="126">
                  <c:v>Jul-2025</c:v>
                </c:pt>
                <c:pt idx="127">
                  <c:v>Aug-2025</c:v>
                </c:pt>
                <c:pt idx="128">
                  <c:v>Sep-2025</c:v>
                </c:pt>
                <c:pt idx="129">
                  <c:v>Oct-2025</c:v>
                </c:pt>
                <c:pt idx="130">
                  <c:v>Nov-2025</c:v>
                </c:pt>
                <c:pt idx="131">
                  <c:v>Dec-2025</c:v>
                </c:pt>
                <c:pt idx="132">
                  <c:v>Jan-2026</c:v>
                </c:pt>
                <c:pt idx="133">
                  <c:v>Feb-2026</c:v>
                </c:pt>
                <c:pt idx="134">
                  <c:v>Mar-2026</c:v>
                </c:pt>
                <c:pt idx="135">
                  <c:v>Apr-2026</c:v>
                </c:pt>
                <c:pt idx="136">
                  <c:v>May-2026</c:v>
                </c:pt>
                <c:pt idx="137">
                  <c:v>Jun-2026</c:v>
                </c:pt>
                <c:pt idx="138">
                  <c:v>Jul-2026</c:v>
                </c:pt>
                <c:pt idx="139">
                  <c:v>Aug-2026</c:v>
                </c:pt>
              </c:strCache>
            </c:strRef>
          </c:cat>
          <c:val>
            <c:numRef>
              <c:f>Data_Brent!$B$6:$B$145</c:f>
              <c:numCache>
                <c:formatCode>#,##0.00;\(#,##0.00\);\-</c:formatCode>
                <c:ptCount val="140"/>
                <c:pt idx="0">
                  <c:v>47.76</c:v>
                </c:pt>
                <c:pt idx="1">
                  <c:v>58.1</c:v>
                </c:pt>
                <c:pt idx="2">
                  <c:v>55.89</c:v>
                </c:pt>
                <c:pt idx="3">
                  <c:v>59.52</c:v>
                </c:pt>
                <c:pt idx="4">
                  <c:v>64.08</c:v>
                </c:pt>
                <c:pt idx="5">
                  <c:v>61.48</c:v>
                </c:pt>
                <c:pt idx="6">
                  <c:v>56.56</c:v>
                </c:pt>
                <c:pt idx="7">
                  <c:v>46.52</c:v>
                </c:pt>
                <c:pt idx="8">
                  <c:v>47.62</c:v>
                </c:pt>
                <c:pt idx="9">
                  <c:v>48.43</c:v>
                </c:pt>
                <c:pt idx="10">
                  <c:v>44.27</c:v>
                </c:pt>
                <c:pt idx="11">
                  <c:v>38.01</c:v>
                </c:pt>
                <c:pt idx="12">
                  <c:v>30.7</c:v>
                </c:pt>
                <c:pt idx="13">
                  <c:v>32.18</c:v>
                </c:pt>
                <c:pt idx="14">
                  <c:v>38.21</c:v>
                </c:pt>
                <c:pt idx="15">
                  <c:v>41.58</c:v>
                </c:pt>
                <c:pt idx="16">
                  <c:v>46.74</c:v>
                </c:pt>
                <c:pt idx="17">
                  <c:v>48.25</c:v>
                </c:pt>
                <c:pt idx="18">
                  <c:v>44.95</c:v>
                </c:pt>
                <c:pt idx="19">
                  <c:v>45.84</c:v>
                </c:pt>
                <c:pt idx="20">
                  <c:v>46.57</c:v>
                </c:pt>
                <c:pt idx="21">
                  <c:v>49.52</c:v>
                </c:pt>
                <c:pt idx="22">
                  <c:v>44.73</c:v>
                </c:pt>
                <c:pt idx="23">
                  <c:v>53.31</c:v>
                </c:pt>
                <c:pt idx="24">
                  <c:v>54.58</c:v>
                </c:pt>
                <c:pt idx="25">
                  <c:v>54.87</c:v>
                </c:pt>
                <c:pt idx="26">
                  <c:v>51.59</c:v>
                </c:pt>
                <c:pt idx="27">
                  <c:v>52.31</c:v>
                </c:pt>
                <c:pt idx="28">
                  <c:v>50.33</c:v>
                </c:pt>
                <c:pt idx="29">
                  <c:v>46.37</c:v>
                </c:pt>
                <c:pt idx="30">
                  <c:v>48.48</c:v>
                </c:pt>
                <c:pt idx="31">
                  <c:v>51.7</c:v>
                </c:pt>
                <c:pt idx="32">
                  <c:v>56.15</c:v>
                </c:pt>
                <c:pt idx="33">
                  <c:v>57.51</c:v>
                </c:pt>
                <c:pt idx="34">
                  <c:v>62.71</c:v>
                </c:pt>
                <c:pt idx="35">
                  <c:v>64.37</c:v>
                </c:pt>
                <c:pt idx="36">
                  <c:v>69.08</c:v>
                </c:pt>
                <c:pt idx="37">
                  <c:v>65.32</c:v>
                </c:pt>
                <c:pt idx="38">
                  <c:v>66.02</c:v>
                </c:pt>
                <c:pt idx="39">
                  <c:v>72.11</c:v>
                </c:pt>
                <c:pt idx="40">
                  <c:v>76.98</c:v>
                </c:pt>
                <c:pt idx="41">
                  <c:v>74.41</c:v>
                </c:pt>
                <c:pt idx="42">
                  <c:v>74.25</c:v>
                </c:pt>
                <c:pt idx="43">
                  <c:v>72.53</c:v>
                </c:pt>
                <c:pt idx="44">
                  <c:v>78.89</c:v>
                </c:pt>
                <c:pt idx="45">
                  <c:v>81.03</c:v>
                </c:pt>
                <c:pt idx="46">
                  <c:v>64.75</c:v>
                </c:pt>
                <c:pt idx="47">
                  <c:v>57.36</c:v>
                </c:pt>
                <c:pt idx="48">
                  <c:v>59.41</c:v>
                </c:pt>
                <c:pt idx="49">
                  <c:v>63.96</c:v>
                </c:pt>
                <c:pt idx="50">
                  <c:v>66.14</c:v>
                </c:pt>
                <c:pt idx="51">
                  <c:v>71.23</c:v>
                </c:pt>
                <c:pt idx="52">
                  <c:v>71.32</c:v>
                </c:pt>
                <c:pt idx="53">
                  <c:v>64.22</c:v>
                </c:pt>
                <c:pt idx="54">
                  <c:v>63.92</c:v>
                </c:pt>
                <c:pt idx="55">
                  <c:v>59.04</c:v>
                </c:pt>
                <c:pt idx="56">
                  <c:v>62.83</c:v>
                </c:pt>
                <c:pt idx="57">
                  <c:v>59.71</c:v>
                </c:pt>
                <c:pt idx="58">
                  <c:v>63.21</c:v>
                </c:pt>
                <c:pt idx="59">
                  <c:v>67.31</c:v>
                </c:pt>
                <c:pt idx="60">
                  <c:v>63.65</c:v>
                </c:pt>
                <c:pt idx="61">
                  <c:v>55.66</c:v>
                </c:pt>
                <c:pt idx="62">
                  <c:v>32.01</c:v>
                </c:pt>
                <c:pt idx="63">
                  <c:v>18.38</c:v>
                </c:pt>
                <c:pt idx="64">
                  <c:v>29.38</c:v>
                </c:pt>
                <c:pt idx="65">
                  <c:v>40.27</c:v>
                </c:pt>
                <c:pt idx="66">
                  <c:v>43.24</c:v>
                </c:pt>
                <c:pt idx="67">
                  <c:v>44.74</c:v>
                </c:pt>
                <c:pt idx="68">
                  <c:v>40.91</c:v>
                </c:pt>
                <c:pt idx="69">
                  <c:v>40.19</c:v>
                </c:pt>
                <c:pt idx="70">
                  <c:v>42.69</c:v>
                </c:pt>
                <c:pt idx="71">
                  <c:v>49.99</c:v>
                </c:pt>
                <c:pt idx="72">
                  <c:v>54.77</c:v>
                </c:pt>
                <c:pt idx="73">
                  <c:v>62.28</c:v>
                </c:pt>
                <c:pt idx="74">
                  <c:v>65.41</c:v>
                </c:pt>
                <c:pt idx="75">
                  <c:v>64.81</c:v>
                </c:pt>
                <c:pt idx="76">
                  <c:v>68.53</c:v>
                </c:pt>
                <c:pt idx="77">
                  <c:v>73.16</c:v>
                </c:pt>
                <c:pt idx="78">
                  <c:v>75.17</c:v>
                </c:pt>
                <c:pt idx="79">
                  <c:v>70.75</c:v>
                </c:pt>
                <c:pt idx="80">
                  <c:v>74.49</c:v>
                </c:pt>
                <c:pt idx="81">
                  <c:v>83.54</c:v>
                </c:pt>
                <c:pt idx="82">
                  <c:v>81.05</c:v>
                </c:pt>
                <c:pt idx="83">
                  <c:v>74.17</c:v>
                </c:pt>
                <c:pt idx="84">
                  <c:v>86.51</c:v>
                </c:pt>
                <c:pt idx="85">
                  <c:v>97.13</c:v>
                </c:pt>
                <c:pt idx="86">
                  <c:v>117.25</c:v>
                </c:pt>
                <c:pt idx="87">
                  <c:v>104.58</c:v>
                </c:pt>
                <c:pt idx="88">
                  <c:v>113.34</c:v>
                </c:pt>
                <c:pt idx="89">
                  <c:v>122.71</c:v>
                </c:pt>
                <c:pt idx="90">
                  <c:v>111.93</c:v>
                </c:pt>
                <c:pt idx="91">
                  <c:v>100.45</c:v>
                </c:pt>
                <c:pt idx="92">
                  <c:v>89.76</c:v>
                </c:pt>
                <c:pt idx="93">
                  <c:v>93.33</c:v>
                </c:pt>
                <c:pt idx="94">
                  <c:v>91.42</c:v>
                </c:pt>
                <c:pt idx="95">
                  <c:v>80.92</c:v>
                </c:pt>
                <c:pt idx="96">
                  <c:v>82.5</c:v>
                </c:pt>
                <c:pt idx="97">
                  <c:v>82.59</c:v>
                </c:pt>
                <c:pt idx="98">
                  <c:v>78.43</c:v>
                </c:pt>
                <c:pt idx="99">
                  <c:v>84.64</c:v>
                </c:pt>
                <c:pt idx="100">
                  <c:v>75.47</c:v>
                </c:pt>
                <c:pt idx="101">
                  <c:v>74.84</c:v>
                </c:pt>
                <c:pt idx="102">
                  <c:v>80.11</c:v>
                </c:pt>
                <c:pt idx="103">
                  <c:v>86.15</c:v>
                </c:pt>
                <c:pt idx="104">
                  <c:v>93.72</c:v>
                </c:pt>
                <c:pt idx="105">
                  <c:v>90.6</c:v>
                </c:pt>
                <c:pt idx="106">
                  <c:v>82.94</c:v>
                </c:pt>
                <c:pt idx="107">
                  <c:v>77.63</c:v>
                </c:pt>
                <c:pt idx="108">
                  <c:v>80.12</c:v>
                </c:pt>
                <c:pt idx="109">
                  <c:v>83.48</c:v>
                </c:pt>
                <c:pt idx="110">
                  <c:v>85.41</c:v>
                </c:pt>
                <c:pt idx="111">
                  <c:v>89.94</c:v>
                </c:pt>
                <c:pt idx="112">
                  <c:v>81.75</c:v>
                </c:pt>
                <c:pt idx="113">
                  <c:v>82.25</c:v>
                </c:pt>
                <c:pt idx="114">
                  <c:v>85.15</c:v>
                </c:pt>
                <c:pt idx="115">
                  <c:v>80.36</c:v>
                </c:pt>
                <c:pt idx="116">
                  <c:v>74.02</c:v>
                </c:pt>
                <c:pt idx="117">
                  <c:v>75.63</c:v>
                </c:pt>
                <c:pt idx="118">
                  <c:v>74.35</c:v>
                </c:pt>
                <c:pt idx="119">
                  <c:v>73.86</c:v>
                </c:pt>
                <c:pt idx="120">
                  <c:v>79.27</c:v>
                </c:pt>
                <c:pt idx="121">
                  <c:v>75.44</c:v>
                </c:pt>
                <c:pt idx="122">
                  <c:v>72.73</c:v>
                </c:pt>
                <c:pt idx="123">
                  <c:v>68.13</c:v>
                </c:pt>
                <c:pt idx="124">
                  <c:v>64.45</c:v>
                </c:pt>
                <c:pt idx="125">
                  <c:v>71.44</c:v>
                </c:pt>
                <c:pt idx="126">
                  <c:v>71.04</c:v>
                </c:pt>
                <c:pt idx="127">
                  <c:v>67.87</c:v>
                </c:pt>
                <c:pt idx="128">
                  <c:v>67.99</c:v>
                </c:pt>
                <c:pt idx="129">
                  <c:v>64.54</c:v>
                </c:pt>
                <c:pt idx="130">
                  <c:v>63.8</c:v>
                </c:pt>
                <c:pt idx="131">
                  <c:v>62.54</c:v>
                </c:pt>
                <c:pt idx="132">
                  <c:v>66.6</c:v>
                </c:pt>
                <c:pt idx="133">
                  <c:v>70.89</c:v>
                </c:pt>
                <c:pt idx="134">
                  <c:v>103.13</c:v>
                </c:pt>
                <c:pt idx="135">
                  <c:v>117.29</c:v>
                </c:pt>
                <c:pt idx="136">
                  <c:v>107.14</c:v>
                </c:pt>
                <c:pt idx="137">
                  <c:v>85.4</c:v>
                </c:pt>
                <c:pt idx="138">
                  <c:v>83.76</c:v>
                </c:pt>
                <c:pt idx="139">
                  <c:v>91.08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453425"/>
        <c:axId val="90391343"/>
      </c:lineChart>
      <c:catAx>
        <c:axId val="34453425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391343"/>
        <c:crosses val="autoZero"/>
        <c:auto val="1"/>
        <c:lblAlgn val="ctr"/>
        <c:lblOffset val="100"/>
        <c:noMultiLvlLbl val="0"/>
      </c:catAx>
      <c:valAx>
        <c:axId val="903913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534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BLS PPI deep-sea freight (index)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Data_PPI!B5</c:f>
              <c:strCache>
                <c:ptCount val="1"/>
                <c:pt idx="0">
                  <c:v>Index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Data_PPI!$A$6:$A$216</c:f>
              <c:strCache>
                <c:ptCount val="211"/>
                <c:pt idx="0">
                  <c:v>Dec-2008</c:v>
                </c:pt>
                <c:pt idx="1">
                  <c:v>Jan-2009</c:v>
                </c:pt>
                <c:pt idx="2">
                  <c:v>Feb-2009</c:v>
                </c:pt>
                <c:pt idx="3">
                  <c:v>Mar-2009</c:v>
                </c:pt>
                <c:pt idx="4">
                  <c:v>Apr-2009</c:v>
                </c:pt>
                <c:pt idx="5">
                  <c:v>May-2009</c:v>
                </c:pt>
                <c:pt idx="6">
                  <c:v>Jun-2009</c:v>
                </c:pt>
                <c:pt idx="7">
                  <c:v>Jul-2009</c:v>
                </c:pt>
                <c:pt idx="8">
                  <c:v>Aug-2009</c:v>
                </c:pt>
                <c:pt idx="9">
                  <c:v>Sep-2009</c:v>
                </c:pt>
                <c:pt idx="10">
                  <c:v>Oct-2009</c:v>
                </c:pt>
                <c:pt idx="11">
                  <c:v>Nov-2009</c:v>
                </c:pt>
                <c:pt idx="12">
                  <c:v>Dec-2009</c:v>
                </c:pt>
                <c:pt idx="13">
                  <c:v>Jan-2010</c:v>
                </c:pt>
                <c:pt idx="14">
                  <c:v>Feb-2010</c:v>
                </c:pt>
                <c:pt idx="15">
                  <c:v>Mar-2010</c:v>
                </c:pt>
                <c:pt idx="16">
                  <c:v>Apr-2010</c:v>
                </c:pt>
                <c:pt idx="17">
                  <c:v>May-2010</c:v>
                </c:pt>
                <c:pt idx="18">
                  <c:v>Jun-2010</c:v>
                </c:pt>
                <c:pt idx="19">
                  <c:v>Jul-2010</c:v>
                </c:pt>
                <c:pt idx="20">
                  <c:v>Aug-2010</c:v>
                </c:pt>
                <c:pt idx="21">
                  <c:v>Sep-2010</c:v>
                </c:pt>
                <c:pt idx="22">
                  <c:v>Oct-2010</c:v>
                </c:pt>
                <c:pt idx="23">
                  <c:v>Nov-2010</c:v>
                </c:pt>
                <c:pt idx="24">
                  <c:v>Dec-2010</c:v>
                </c:pt>
                <c:pt idx="25">
                  <c:v>Jan-2011</c:v>
                </c:pt>
                <c:pt idx="26">
                  <c:v>Feb-2011</c:v>
                </c:pt>
                <c:pt idx="27">
                  <c:v>Mar-2011</c:v>
                </c:pt>
                <c:pt idx="28">
                  <c:v>Apr-2011</c:v>
                </c:pt>
                <c:pt idx="29">
                  <c:v>May-2011</c:v>
                </c:pt>
                <c:pt idx="30">
                  <c:v>Jun-2011</c:v>
                </c:pt>
                <c:pt idx="31">
                  <c:v>Jul-2011</c:v>
                </c:pt>
                <c:pt idx="32">
                  <c:v>Aug-2011</c:v>
                </c:pt>
                <c:pt idx="33">
                  <c:v>Sep-2011</c:v>
                </c:pt>
                <c:pt idx="34">
                  <c:v>Oct-2011</c:v>
                </c:pt>
                <c:pt idx="35">
                  <c:v>Nov-2011</c:v>
                </c:pt>
                <c:pt idx="36">
                  <c:v>Dec-2011</c:v>
                </c:pt>
                <c:pt idx="37">
                  <c:v>Jan-2012</c:v>
                </c:pt>
                <c:pt idx="38">
                  <c:v>Feb-2012</c:v>
                </c:pt>
                <c:pt idx="39">
                  <c:v>Mar-2012</c:v>
                </c:pt>
                <c:pt idx="40">
                  <c:v>Apr-2012</c:v>
                </c:pt>
                <c:pt idx="41">
                  <c:v>May-2012</c:v>
                </c:pt>
                <c:pt idx="42">
                  <c:v>Jun-2012</c:v>
                </c:pt>
                <c:pt idx="43">
                  <c:v>Jul-2012</c:v>
                </c:pt>
                <c:pt idx="44">
                  <c:v>Aug-2012</c:v>
                </c:pt>
                <c:pt idx="45">
                  <c:v>Sep-2012</c:v>
                </c:pt>
                <c:pt idx="46">
                  <c:v>Oct-2012</c:v>
                </c:pt>
                <c:pt idx="47">
                  <c:v>Nov-2012</c:v>
                </c:pt>
                <c:pt idx="48">
                  <c:v>Dec-2012</c:v>
                </c:pt>
                <c:pt idx="49">
                  <c:v>Jan-2013</c:v>
                </c:pt>
                <c:pt idx="50">
                  <c:v>Feb-2013</c:v>
                </c:pt>
                <c:pt idx="51">
                  <c:v>Mar-2013</c:v>
                </c:pt>
                <c:pt idx="52">
                  <c:v>Apr-2013</c:v>
                </c:pt>
                <c:pt idx="53">
                  <c:v>May-2013</c:v>
                </c:pt>
                <c:pt idx="54">
                  <c:v>Jun-2013</c:v>
                </c:pt>
                <c:pt idx="55">
                  <c:v>Jul-2013</c:v>
                </c:pt>
                <c:pt idx="56">
                  <c:v>Aug-2013</c:v>
                </c:pt>
                <c:pt idx="57">
                  <c:v>Sep-2013</c:v>
                </c:pt>
                <c:pt idx="58">
                  <c:v>Oct-2013</c:v>
                </c:pt>
                <c:pt idx="59">
                  <c:v>Nov-2013</c:v>
                </c:pt>
                <c:pt idx="60">
                  <c:v>Dec-2013</c:v>
                </c:pt>
                <c:pt idx="61">
                  <c:v>Jan-2014</c:v>
                </c:pt>
                <c:pt idx="62">
                  <c:v>Feb-2014</c:v>
                </c:pt>
                <c:pt idx="63">
                  <c:v>Mar-2014</c:v>
                </c:pt>
                <c:pt idx="64">
                  <c:v>Apr-2014</c:v>
                </c:pt>
                <c:pt idx="65">
                  <c:v>May-2014</c:v>
                </c:pt>
                <c:pt idx="66">
                  <c:v>Jun-2014</c:v>
                </c:pt>
                <c:pt idx="67">
                  <c:v>Jul-2014</c:v>
                </c:pt>
                <c:pt idx="68">
                  <c:v>Aug-2014</c:v>
                </c:pt>
                <c:pt idx="69">
                  <c:v>Sep-2014</c:v>
                </c:pt>
                <c:pt idx="70">
                  <c:v>Oct-2014</c:v>
                </c:pt>
                <c:pt idx="71">
                  <c:v>Nov-2014</c:v>
                </c:pt>
                <c:pt idx="72">
                  <c:v>Dec-2014</c:v>
                </c:pt>
                <c:pt idx="73">
                  <c:v>Jan-2015</c:v>
                </c:pt>
                <c:pt idx="74">
                  <c:v>Feb-2015</c:v>
                </c:pt>
                <c:pt idx="75">
                  <c:v>Mar-2015</c:v>
                </c:pt>
                <c:pt idx="76">
                  <c:v>Apr-2015</c:v>
                </c:pt>
                <c:pt idx="77">
                  <c:v>May-2015</c:v>
                </c:pt>
                <c:pt idx="78">
                  <c:v>Jun-2015</c:v>
                </c:pt>
                <c:pt idx="79">
                  <c:v>Jul-2015</c:v>
                </c:pt>
                <c:pt idx="80">
                  <c:v>Aug-2015</c:v>
                </c:pt>
                <c:pt idx="81">
                  <c:v>Sep-2015</c:v>
                </c:pt>
                <c:pt idx="82">
                  <c:v>Oct-2015</c:v>
                </c:pt>
                <c:pt idx="83">
                  <c:v>Nov-2015</c:v>
                </c:pt>
                <c:pt idx="84">
                  <c:v>Dec-2015</c:v>
                </c:pt>
                <c:pt idx="85">
                  <c:v>Jan-2016</c:v>
                </c:pt>
                <c:pt idx="86">
                  <c:v>Feb-2016</c:v>
                </c:pt>
                <c:pt idx="87">
                  <c:v>Mar-2016</c:v>
                </c:pt>
                <c:pt idx="88">
                  <c:v>Apr-2016</c:v>
                </c:pt>
                <c:pt idx="89">
                  <c:v>May-2016</c:v>
                </c:pt>
                <c:pt idx="90">
                  <c:v>Jun-2016</c:v>
                </c:pt>
                <c:pt idx="91">
                  <c:v>Jul-2016</c:v>
                </c:pt>
                <c:pt idx="92">
                  <c:v>Aug-2016</c:v>
                </c:pt>
                <c:pt idx="93">
                  <c:v>Sep-2016</c:v>
                </c:pt>
                <c:pt idx="94">
                  <c:v>Oct-2016</c:v>
                </c:pt>
                <c:pt idx="95">
                  <c:v>Nov-2016</c:v>
                </c:pt>
                <c:pt idx="96">
                  <c:v>Dec-2016</c:v>
                </c:pt>
                <c:pt idx="97">
                  <c:v>Jan-2017</c:v>
                </c:pt>
                <c:pt idx="98">
                  <c:v>Feb-2017</c:v>
                </c:pt>
                <c:pt idx="99">
                  <c:v>Mar-2017</c:v>
                </c:pt>
                <c:pt idx="100">
                  <c:v>Apr-2017</c:v>
                </c:pt>
                <c:pt idx="101">
                  <c:v>May-2017</c:v>
                </c:pt>
                <c:pt idx="102">
                  <c:v>Jun-2017</c:v>
                </c:pt>
                <c:pt idx="103">
                  <c:v>Jul-2017</c:v>
                </c:pt>
                <c:pt idx="104">
                  <c:v>Aug-2017</c:v>
                </c:pt>
                <c:pt idx="105">
                  <c:v>Sep-2017</c:v>
                </c:pt>
                <c:pt idx="106">
                  <c:v>Oct-2017</c:v>
                </c:pt>
                <c:pt idx="107">
                  <c:v>Nov-2017</c:v>
                </c:pt>
                <c:pt idx="108">
                  <c:v>Dec-2017</c:v>
                </c:pt>
                <c:pt idx="109">
                  <c:v>Jan-2018</c:v>
                </c:pt>
                <c:pt idx="110">
                  <c:v>Feb-2018</c:v>
                </c:pt>
                <c:pt idx="111">
                  <c:v>Mar-2018</c:v>
                </c:pt>
                <c:pt idx="112">
                  <c:v>Apr-2018</c:v>
                </c:pt>
                <c:pt idx="113">
                  <c:v>May-2018</c:v>
                </c:pt>
                <c:pt idx="114">
                  <c:v>Jun-2018</c:v>
                </c:pt>
                <c:pt idx="115">
                  <c:v>Jul-2018</c:v>
                </c:pt>
                <c:pt idx="116">
                  <c:v>Aug-2018</c:v>
                </c:pt>
                <c:pt idx="117">
                  <c:v>Sep-2018</c:v>
                </c:pt>
                <c:pt idx="118">
                  <c:v>Oct-2018</c:v>
                </c:pt>
                <c:pt idx="119">
                  <c:v>Nov-2018</c:v>
                </c:pt>
                <c:pt idx="120">
                  <c:v>Dec-2018</c:v>
                </c:pt>
                <c:pt idx="121">
                  <c:v>Jan-2019</c:v>
                </c:pt>
                <c:pt idx="122">
                  <c:v>Feb-2019</c:v>
                </c:pt>
                <c:pt idx="123">
                  <c:v>Mar-2019</c:v>
                </c:pt>
                <c:pt idx="124">
                  <c:v>Apr-2019</c:v>
                </c:pt>
                <c:pt idx="125">
                  <c:v>May-2019</c:v>
                </c:pt>
                <c:pt idx="126">
                  <c:v>Jun-2019</c:v>
                </c:pt>
                <c:pt idx="127">
                  <c:v>Jul-2019</c:v>
                </c:pt>
                <c:pt idx="128">
                  <c:v>Aug-2019</c:v>
                </c:pt>
                <c:pt idx="129">
                  <c:v>Sep-2019</c:v>
                </c:pt>
                <c:pt idx="130">
                  <c:v>Oct-2019</c:v>
                </c:pt>
                <c:pt idx="131">
                  <c:v>Nov-2019</c:v>
                </c:pt>
                <c:pt idx="132">
                  <c:v>Dec-2019</c:v>
                </c:pt>
                <c:pt idx="133">
                  <c:v>Jan-2020</c:v>
                </c:pt>
                <c:pt idx="134">
                  <c:v>Feb-2020</c:v>
                </c:pt>
                <c:pt idx="135">
                  <c:v>Mar-2020</c:v>
                </c:pt>
                <c:pt idx="136">
                  <c:v>Apr-2020</c:v>
                </c:pt>
                <c:pt idx="137">
                  <c:v>May-2020</c:v>
                </c:pt>
                <c:pt idx="138">
                  <c:v>Jun-2020</c:v>
                </c:pt>
                <c:pt idx="139">
                  <c:v>Jul-2020</c:v>
                </c:pt>
                <c:pt idx="140">
                  <c:v>Aug-2020</c:v>
                </c:pt>
                <c:pt idx="141">
                  <c:v>Sep-2020</c:v>
                </c:pt>
                <c:pt idx="142">
                  <c:v>Oct-2020</c:v>
                </c:pt>
                <c:pt idx="143">
                  <c:v>Nov-2020</c:v>
                </c:pt>
                <c:pt idx="144">
                  <c:v>Dec-2020</c:v>
                </c:pt>
                <c:pt idx="145">
                  <c:v>Jan-2021</c:v>
                </c:pt>
                <c:pt idx="146">
                  <c:v>Feb-2021</c:v>
                </c:pt>
                <c:pt idx="147">
                  <c:v>Mar-2021</c:v>
                </c:pt>
                <c:pt idx="148">
                  <c:v>Apr-2021</c:v>
                </c:pt>
                <c:pt idx="149">
                  <c:v>May-2021</c:v>
                </c:pt>
                <c:pt idx="150">
                  <c:v>Jun-2021</c:v>
                </c:pt>
                <c:pt idx="151">
                  <c:v>Jul-2021</c:v>
                </c:pt>
                <c:pt idx="152">
                  <c:v>Aug-2021</c:v>
                </c:pt>
                <c:pt idx="153">
                  <c:v>Sep-2021</c:v>
                </c:pt>
                <c:pt idx="154">
                  <c:v>Oct-2021</c:v>
                </c:pt>
                <c:pt idx="155">
                  <c:v>Nov-2021</c:v>
                </c:pt>
                <c:pt idx="156">
                  <c:v>Dec-2021</c:v>
                </c:pt>
                <c:pt idx="157">
                  <c:v>Jan-2022</c:v>
                </c:pt>
                <c:pt idx="158">
                  <c:v>Feb-2022</c:v>
                </c:pt>
                <c:pt idx="159">
                  <c:v>Mar-2022</c:v>
                </c:pt>
                <c:pt idx="160">
                  <c:v>Apr-2022</c:v>
                </c:pt>
                <c:pt idx="161">
                  <c:v>May-2022</c:v>
                </c:pt>
                <c:pt idx="162">
                  <c:v>Jun-2022</c:v>
                </c:pt>
                <c:pt idx="163">
                  <c:v>Jul-2022</c:v>
                </c:pt>
                <c:pt idx="164">
                  <c:v>Aug-2022</c:v>
                </c:pt>
                <c:pt idx="165">
                  <c:v>Sep-2022</c:v>
                </c:pt>
                <c:pt idx="166">
                  <c:v>Oct-2022</c:v>
                </c:pt>
                <c:pt idx="167">
                  <c:v>Nov-2022</c:v>
                </c:pt>
                <c:pt idx="168">
                  <c:v>Dec-2022</c:v>
                </c:pt>
                <c:pt idx="169">
                  <c:v>Jan-2023</c:v>
                </c:pt>
                <c:pt idx="170">
                  <c:v>Feb-2023</c:v>
                </c:pt>
                <c:pt idx="171">
                  <c:v>Mar-2023</c:v>
                </c:pt>
                <c:pt idx="172">
                  <c:v>Apr-2023</c:v>
                </c:pt>
                <c:pt idx="173">
                  <c:v>May-2023</c:v>
                </c:pt>
                <c:pt idx="174">
                  <c:v>Jun-2023</c:v>
                </c:pt>
                <c:pt idx="175">
                  <c:v>Jul-2023</c:v>
                </c:pt>
                <c:pt idx="176">
                  <c:v>Aug-2023</c:v>
                </c:pt>
                <c:pt idx="177">
                  <c:v>Sep-2023</c:v>
                </c:pt>
                <c:pt idx="178">
                  <c:v>Oct-2023</c:v>
                </c:pt>
                <c:pt idx="179">
                  <c:v>Nov-2023</c:v>
                </c:pt>
                <c:pt idx="180">
                  <c:v>Dec-2023</c:v>
                </c:pt>
                <c:pt idx="181">
                  <c:v>Jan-2024</c:v>
                </c:pt>
                <c:pt idx="182">
                  <c:v>Feb-2024</c:v>
                </c:pt>
                <c:pt idx="183">
                  <c:v>Mar-2024</c:v>
                </c:pt>
                <c:pt idx="184">
                  <c:v>Apr-2024</c:v>
                </c:pt>
                <c:pt idx="185">
                  <c:v>May-2024</c:v>
                </c:pt>
                <c:pt idx="186">
                  <c:v>Jun-2024</c:v>
                </c:pt>
                <c:pt idx="187">
                  <c:v>Jul-2024</c:v>
                </c:pt>
                <c:pt idx="188">
                  <c:v>Aug-2024</c:v>
                </c:pt>
                <c:pt idx="189">
                  <c:v>Sep-2024</c:v>
                </c:pt>
                <c:pt idx="190">
                  <c:v>Oct-2024</c:v>
                </c:pt>
                <c:pt idx="191">
                  <c:v>Nov-2024</c:v>
                </c:pt>
                <c:pt idx="192">
                  <c:v>Dec-2024</c:v>
                </c:pt>
                <c:pt idx="193">
                  <c:v>Jan-2025</c:v>
                </c:pt>
                <c:pt idx="194">
                  <c:v>Feb-2025</c:v>
                </c:pt>
                <c:pt idx="195">
                  <c:v>Mar-2025</c:v>
                </c:pt>
                <c:pt idx="196">
                  <c:v>Apr-2025</c:v>
                </c:pt>
                <c:pt idx="197">
                  <c:v>May-2025</c:v>
                </c:pt>
                <c:pt idx="198">
                  <c:v>Jun-2025</c:v>
                </c:pt>
                <c:pt idx="199">
                  <c:v>Jul-2025</c:v>
                </c:pt>
                <c:pt idx="200">
                  <c:v>Aug-2025</c:v>
                </c:pt>
                <c:pt idx="201">
                  <c:v>Sep-2025</c:v>
                </c:pt>
                <c:pt idx="202">
                  <c:v>Oct-2025</c:v>
                </c:pt>
                <c:pt idx="203">
                  <c:v>Nov-2025</c:v>
                </c:pt>
                <c:pt idx="204">
                  <c:v>Dec-2025</c:v>
                </c:pt>
                <c:pt idx="205">
                  <c:v>Jan-2026</c:v>
                </c:pt>
                <c:pt idx="206">
                  <c:v>Feb-2026</c:v>
                </c:pt>
                <c:pt idx="207">
                  <c:v>Mar-2026</c:v>
                </c:pt>
                <c:pt idx="208">
                  <c:v>Apr-2026</c:v>
                </c:pt>
                <c:pt idx="209">
                  <c:v>May-2026</c:v>
                </c:pt>
                <c:pt idx="210">
                  <c:v>Jun-2026</c:v>
                </c:pt>
              </c:strCache>
            </c:strRef>
          </c:cat>
          <c:val>
            <c:numRef>
              <c:f>Data_PPI!$B$6:$B$216</c:f>
              <c:numCache>
                <c:formatCode>#,##0.0;\(#,##0.0\);\-</c:formatCode>
                <c:ptCount val="211"/>
                <c:pt idx="0">
                  <c:v>100</c:v>
                </c:pt>
                <c:pt idx="1">
                  <c:v>90.8</c:v>
                </c:pt>
                <c:pt idx="2">
                  <c:v>87.2</c:v>
                </c:pt>
                <c:pt idx="3">
                  <c:v>87.4</c:v>
                </c:pt>
                <c:pt idx="4">
                  <c:v>87.8</c:v>
                </c:pt>
                <c:pt idx="5">
                  <c:v>80.8</c:v>
                </c:pt>
                <c:pt idx="6">
                  <c:v>80.9</c:v>
                </c:pt>
                <c:pt idx="7">
                  <c:v>81.4</c:v>
                </c:pt>
                <c:pt idx="8">
                  <c:v>82.2</c:v>
                </c:pt>
                <c:pt idx="9">
                  <c:v>83.5</c:v>
                </c:pt>
                <c:pt idx="10">
                  <c:v>84.4</c:v>
                </c:pt>
                <c:pt idx="11">
                  <c:v>84.8</c:v>
                </c:pt>
                <c:pt idx="12">
                  <c:v>85.7</c:v>
                </c:pt>
                <c:pt idx="13">
                  <c:v>88</c:v>
                </c:pt>
                <c:pt idx="14">
                  <c:v>88.8</c:v>
                </c:pt>
                <c:pt idx="15">
                  <c:v>88.8</c:v>
                </c:pt>
                <c:pt idx="16">
                  <c:v>91.7</c:v>
                </c:pt>
                <c:pt idx="17">
                  <c:v>93.9</c:v>
                </c:pt>
                <c:pt idx="18">
                  <c:v>95.9</c:v>
                </c:pt>
                <c:pt idx="19">
                  <c:v>98.5</c:v>
                </c:pt>
                <c:pt idx="20">
                  <c:v>98.5</c:v>
                </c:pt>
                <c:pt idx="21">
                  <c:v>98.6</c:v>
                </c:pt>
                <c:pt idx="22">
                  <c:v>97.9</c:v>
                </c:pt>
                <c:pt idx="23">
                  <c:v>97.9</c:v>
                </c:pt>
                <c:pt idx="24">
                  <c:v>97.9</c:v>
                </c:pt>
                <c:pt idx="25">
                  <c:v>98.3</c:v>
                </c:pt>
                <c:pt idx="26">
                  <c:v>99.4</c:v>
                </c:pt>
                <c:pt idx="27">
                  <c:v>102</c:v>
                </c:pt>
                <c:pt idx="28">
                  <c:v>102.7</c:v>
                </c:pt>
                <c:pt idx="29">
                  <c:v>102.7</c:v>
                </c:pt>
                <c:pt idx="30">
                  <c:v>103.7</c:v>
                </c:pt>
                <c:pt idx="31">
                  <c:v>98.9</c:v>
                </c:pt>
                <c:pt idx="32">
                  <c:v>96</c:v>
                </c:pt>
                <c:pt idx="33">
                  <c:v>95.7</c:v>
                </c:pt>
                <c:pt idx="34">
                  <c:v>92.7</c:v>
                </c:pt>
                <c:pt idx="35">
                  <c:v>94.5</c:v>
                </c:pt>
                <c:pt idx="36">
                  <c:v>92.3</c:v>
                </c:pt>
                <c:pt idx="37">
                  <c:v>92.4</c:v>
                </c:pt>
                <c:pt idx="38">
                  <c:v>93.6</c:v>
                </c:pt>
                <c:pt idx="39">
                  <c:v>97.1</c:v>
                </c:pt>
                <c:pt idx="40">
                  <c:v>97.7</c:v>
                </c:pt>
                <c:pt idx="41">
                  <c:v>97.7</c:v>
                </c:pt>
                <c:pt idx="42">
                  <c:v>97.3</c:v>
                </c:pt>
                <c:pt idx="43">
                  <c:v>97.2</c:v>
                </c:pt>
                <c:pt idx="44">
                  <c:v>97.5</c:v>
                </c:pt>
                <c:pt idx="45">
                  <c:v>97.2</c:v>
                </c:pt>
                <c:pt idx="46">
                  <c:v>95.9</c:v>
                </c:pt>
                <c:pt idx="47">
                  <c:v>96.1</c:v>
                </c:pt>
                <c:pt idx="48">
                  <c:v>96.6</c:v>
                </c:pt>
                <c:pt idx="49">
                  <c:v>96.6</c:v>
                </c:pt>
                <c:pt idx="50">
                  <c:v>96.3</c:v>
                </c:pt>
                <c:pt idx="51">
                  <c:v>96.5</c:v>
                </c:pt>
                <c:pt idx="52">
                  <c:v>94.4</c:v>
                </c:pt>
                <c:pt idx="53">
                  <c:v>96</c:v>
                </c:pt>
                <c:pt idx="54">
                  <c:v>95.4</c:v>
                </c:pt>
                <c:pt idx="55">
                  <c:v>95.9</c:v>
                </c:pt>
                <c:pt idx="56">
                  <c:v>95.9</c:v>
                </c:pt>
                <c:pt idx="57">
                  <c:v>96.3</c:v>
                </c:pt>
                <c:pt idx="58">
                  <c:v>96.2</c:v>
                </c:pt>
                <c:pt idx="59">
                  <c:v>95.4</c:v>
                </c:pt>
                <c:pt idx="60">
                  <c:v>99.5</c:v>
                </c:pt>
                <c:pt idx="61">
                  <c:v>101.6</c:v>
                </c:pt>
                <c:pt idx="62">
                  <c:v>101.3</c:v>
                </c:pt>
                <c:pt idx="63">
                  <c:v>101.2</c:v>
                </c:pt>
                <c:pt idx="64">
                  <c:v>101.7</c:v>
                </c:pt>
                <c:pt idx="65">
                  <c:v>102</c:v>
                </c:pt>
                <c:pt idx="66">
                  <c:v>102.3</c:v>
                </c:pt>
                <c:pt idx="67">
                  <c:v>101.4</c:v>
                </c:pt>
                <c:pt idx="68">
                  <c:v>101.4</c:v>
                </c:pt>
                <c:pt idx="69">
                  <c:v>101.3</c:v>
                </c:pt>
                <c:pt idx="70">
                  <c:v>101</c:v>
                </c:pt>
                <c:pt idx="71">
                  <c:v>100.8</c:v>
                </c:pt>
                <c:pt idx="72">
                  <c:v>100.8</c:v>
                </c:pt>
                <c:pt idx="73">
                  <c:v>100.4</c:v>
                </c:pt>
                <c:pt idx="74">
                  <c:v>103.2</c:v>
                </c:pt>
                <c:pt idx="75">
                  <c:v>103.5</c:v>
                </c:pt>
                <c:pt idx="76">
                  <c:v>103.9</c:v>
                </c:pt>
                <c:pt idx="77">
                  <c:v>103.8</c:v>
                </c:pt>
                <c:pt idx="78">
                  <c:v>101.6</c:v>
                </c:pt>
                <c:pt idx="79">
                  <c:v>100</c:v>
                </c:pt>
                <c:pt idx="80">
                  <c:v>99.5</c:v>
                </c:pt>
                <c:pt idx="81">
                  <c:v>97.5</c:v>
                </c:pt>
                <c:pt idx="82">
                  <c:v>97.5</c:v>
                </c:pt>
                <c:pt idx="83">
                  <c:v>96.2</c:v>
                </c:pt>
                <c:pt idx="84">
                  <c:v>93.6</c:v>
                </c:pt>
                <c:pt idx="85">
                  <c:v>92.6</c:v>
                </c:pt>
                <c:pt idx="86">
                  <c:v>91.1</c:v>
                </c:pt>
                <c:pt idx="87">
                  <c:v>91.9</c:v>
                </c:pt>
                <c:pt idx="88">
                  <c:v>91.4</c:v>
                </c:pt>
                <c:pt idx="89">
                  <c:v>91.7</c:v>
                </c:pt>
                <c:pt idx="90">
                  <c:v>92.3</c:v>
                </c:pt>
                <c:pt idx="91">
                  <c:v>91.4</c:v>
                </c:pt>
                <c:pt idx="92">
                  <c:v>92.9</c:v>
                </c:pt>
                <c:pt idx="93">
                  <c:v>92.9</c:v>
                </c:pt>
                <c:pt idx="94">
                  <c:v>96.1</c:v>
                </c:pt>
                <c:pt idx="95">
                  <c:v>96.3</c:v>
                </c:pt>
                <c:pt idx="96">
                  <c:v>97.5</c:v>
                </c:pt>
                <c:pt idx="97">
                  <c:v>98.3</c:v>
                </c:pt>
                <c:pt idx="98">
                  <c:v>99.6</c:v>
                </c:pt>
                <c:pt idx="99">
                  <c:v>99.1</c:v>
                </c:pt>
                <c:pt idx="100">
                  <c:v>100.1</c:v>
                </c:pt>
                <c:pt idx="101">
                  <c:v>101.2</c:v>
                </c:pt>
                <c:pt idx="102">
                  <c:v>101.1</c:v>
                </c:pt>
                <c:pt idx="103">
                  <c:v>101.9</c:v>
                </c:pt>
                <c:pt idx="104">
                  <c:v>102</c:v>
                </c:pt>
                <c:pt idx="105">
                  <c:v>102.1</c:v>
                </c:pt>
                <c:pt idx="106">
                  <c:v>101.5</c:v>
                </c:pt>
                <c:pt idx="107">
                  <c:v>105.1</c:v>
                </c:pt>
                <c:pt idx="108">
                  <c:v>104.5</c:v>
                </c:pt>
                <c:pt idx="109">
                  <c:v>106.1</c:v>
                </c:pt>
                <c:pt idx="110">
                  <c:v>106.3</c:v>
                </c:pt>
                <c:pt idx="111">
                  <c:v>106.3</c:v>
                </c:pt>
                <c:pt idx="112">
                  <c:v>107.4</c:v>
                </c:pt>
                <c:pt idx="113">
                  <c:v>110.6</c:v>
                </c:pt>
                <c:pt idx="114">
                  <c:v>113.4</c:v>
                </c:pt>
                <c:pt idx="115">
                  <c:v>116</c:v>
                </c:pt>
                <c:pt idx="116">
                  <c:v>115.9</c:v>
                </c:pt>
                <c:pt idx="117">
                  <c:v>116.1</c:v>
                </c:pt>
                <c:pt idx="118">
                  <c:v>117.4</c:v>
                </c:pt>
                <c:pt idx="119">
                  <c:v>117.7</c:v>
                </c:pt>
                <c:pt idx="120">
                  <c:v>117.4</c:v>
                </c:pt>
                <c:pt idx="121">
                  <c:v>118.5</c:v>
                </c:pt>
                <c:pt idx="122">
                  <c:v>118.2</c:v>
                </c:pt>
                <c:pt idx="123">
                  <c:v>118.9</c:v>
                </c:pt>
                <c:pt idx="124">
                  <c:v>119.3</c:v>
                </c:pt>
                <c:pt idx="125">
                  <c:v>119.6</c:v>
                </c:pt>
                <c:pt idx="126">
                  <c:v>119.3</c:v>
                </c:pt>
                <c:pt idx="127">
                  <c:v>120.9</c:v>
                </c:pt>
                <c:pt idx="128">
                  <c:v>117.3</c:v>
                </c:pt>
                <c:pt idx="129">
                  <c:v>117.6</c:v>
                </c:pt>
                <c:pt idx="130">
                  <c:v>116.8</c:v>
                </c:pt>
                <c:pt idx="131">
                  <c:v>122.2</c:v>
                </c:pt>
                <c:pt idx="132">
                  <c:v>123.6</c:v>
                </c:pt>
                <c:pt idx="133">
                  <c:v>123.7</c:v>
                </c:pt>
                <c:pt idx="134">
                  <c:v>117.2</c:v>
                </c:pt>
                <c:pt idx="135">
                  <c:v>116.4</c:v>
                </c:pt>
                <c:pt idx="136">
                  <c:v>110.5</c:v>
                </c:pt>
                <c:pt idx="137">
                  <c:v>110.6</c:v>
                </c:pt>
                <c:pt idx="138">
                  <c:v>110.9</c:v>
                </c:pt>
                <c:pt idx="139">
                  <c:v>111.2</c:v>
                </c:pt>
                <c:pt idx="140">
                  <c:v>111.3</c:v>
                </c:pt>
                <c:pt idx="141">
                  <c:v>111</c:v>
                </c:pt>
                <c:pt idx="142">
                  <c:v>109.5</c:v>
                </c:pt>
                <c:pt idx="143">
                  <c:v>108.3</c:v>
                </c:pt>
                <c:pt idx="144">
                  <c:v>109.4</c:v>
                </c:pt>
                <c:pt idx="145">
                  <c:v>110.3</c:v>
                </c:pt>
                <c:pt idx="146">
                  <c:v>113.4</c:v>
                </c:pt>
                <c:pt idx="147">
                  <c:v>115.5</c:v>
                </c:pt>
                <c:pt idx="148">
                  <c:v>119.2</c:v>
                </c:pt>
                <c:pt idx="149">
                  <c:v>124.4</c:v>
                </c:pt>
                <c:pt idx="150">
                  <c:v>129.8</c:v>
                </c:pt>
                <c:pt idx="151">
                  <c:v>131.104</c:v>
                </c:pt>
                <c:pt idx="152">
                  <c:v>129.008</c:v>
                </c:pt>
                <c:pt idx="153">
                  <c:v>133.644</c:v>
                </c:pt>
                <c:pt idx="154">
                  <c:v>137.485</c:v>
                </c:pt>
                <c:pt idx="155">
                  <c:v>136.167</c:v>
                </c:pt>
                <c:pt idx="156">
                  <c:v>140.888</c:v>
                </c:pt>
                <c:pt idx="157">
                  <c:v>141.408</c:v>
                </c:pt>
                <c:pt idx="158">
                  <c:v>141.491</c:v>
                </c:pt>
                <c:pt idx="159">
                  <c:v>137.335</c:v>
                </c:pt>
                <c:pt idx="160">
                  <c:v>149.063</c:v>
                </c:pt>
                <c:pt idx="161">
                  <c:v>168.566</c:v>
                </c:pt>
                <c:pt idx="162">
                  <c:v>165.624</c:v>
                </c:pt>
                <c:pt idx="163">
                  <c:v>171.366</c:v>
                </c:pt>
                <c:pt idx="164">
                  <c:v>176.764</c:v>
                </c:pt>
                <c:pt idx="165">
                  <c:v>180.363</c:v>
                </c:pt>
                <c:pt idx="166">
                  <c:v>180.345</c:v>
                </c:pt>
                <c:pt idx="167">
                  <c:v>177.954</c:v>
                </c:pt>
                <c:pt idx="168">
                  <c:v>176.979</c:v>
                </c:pt>
                <c:pt idx="169">
                  <c:v>166.91</c:v>
                </c:pt>
                <c:pt idx="170">
                  <c:v>172.187</c:v>
                </c:pt>
                <c:pt idx="171">
                  <c:v>155.405</c:v>
                </c:pt>
                <c:pt idx="172">
                  <c:v>154.468</c:v>
                </c:pt>
                <c:pt idx="173">
                  <c:v>167.366</c:v>
                </c:pt>
                <c:pt idx="174">
                  <c:v>158.652</c:v>
                </c:pt>
                <c:pt idx="175">
                  <c:v>168.276</c:v>
                </c:pt>
                <c:pt idx="176">
                  <c:v>174.404</c:v>
                </c:pt>
                <c:pt idx="177">
                  <c:v>166.635</c:v>
                </c:pt>
                <c:pt idx="178">
                  <c:v>157.541</c:v>
                </c:pt>
                <c:pt idx="179">
                  <c:v>152.65</c:v>
                </c:pt>
                <c:pt idx="180">
                  <c:v>157.355</c:v>
                </c:pt>
                <c:pt idx="181">
                  <c:v>161.886</c:v>
                </c:pt>
                <c:pt idx="182">
                  <c:v>158.032</c:v>
                </c:pt>
                <c:pt idx="183">
                  <c:v>153.514</c:v>
                </c:pt>
                <c:pt idx="184">
                  <c:v>154.377</c:v>
                </c:pt>
                <c:pt idx="185">
                  <c:v>159.711</c:v>
                </c:pt>
                <c:pt idx="186">
                  <c:v>167.463</c:v>
                </c:pt>
                <c:pt idx="187">
                  <c:v>169.387</c:v>
                </c:pt>
                <c:pt idx="188">
                  <c:v>166.698</c:v>
                </c:pt>
                <c:pt idx="189">
                  <c:v>159.607</c:v>
                </c:pt>
                <c:pt idx="190">
                  <c:v>157.761</c:v>
                </c:pt>
                <c:pt idx="191">
                  <c:v>152.784</c:v>
                </c:pt>
                <c:pt idx="192">
                  <c:v>151.867</c:v>
                </c:pt>
                <c:pt idx="193">
                  <c:v>165.062</c:v>
                </c:pt>
                <c:pt idx="194">
                  <c:v>168.592</c:v>
                </c:pt>
                <c:pt idx="195">
                  <c:v>160.206</c:v>
                </c:pt>
                <c:pt idx="196">
                  <c:v>158.089</c:v>
                </c:pt>
                <c:pt idx="197">
                  <c:v>153.921</c:v>
                </c:pt>
                <c:pt idx="198">
                  <c:v>155.941</c:v>
                </c:pt>
                <c:pt idx="199">
                  <c:v>151.255</c:v>
                </c:pt>
                <c:pt idx="200">
                  <c:v>151.341</c:v>
                </c:pt>
                <c:pt idx="201">
                  <c:v>150.618</c:v>
                </c:pt>
                <c:pt idx="202">
                  <c:v>162.078</c:v>
                </c:pt>
                <c:pt idx="203">
                  <c:v>155.155</c:v>
                </c:pt>
                <c:pt idx="204">
                  <c:v>160</c:v>
                </c:pt>
                <c:pt idx="205">
                  <c:v>171.547</c:v>
                </c:pt>
                <c:pt idx="206">
                  <c:v>170.213</c:v>
                </c:pt>
                <c:pt idx="207">
                  <c:v>168.47</c:v>
                </c:pt>
                <c:pt idx="208">
                  <c:v>171.037</c:v>
                </c:pt>
                <c:pt idx="209">
                  <c:v>175.846</c:v>
                </c:pt>
                <c:pt idx="210">
                  <c:v>176.98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834906"/>
        <c:axId val="96471083"/>
      </c:lineChart>
      <c:catAx>
        <c:axId val="11834906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471083"/>
        <c:crosses val="autoZero"/>
        <c:auto val="1"/>
        <c:lblAlgn val="ctr"/>
        <c:lblOffset val="100"/>
        <c:noMultiLvlLbl val="0"/>
      </c:catAx>
      <c:valAx>
        <c:axId val="964710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349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11</xdr:row>
      <xdr:rowOff>170640</xdr:rowOff>
    </xdr:from>
    <xdr:to>
      <xdr:col>11</xdr:col>
      <xdr:colOff>770040</xdr:colOff>
      <xdr:row>27</xdr:row>
      <xdr:rowOff>2520</xdr:rowOff>
    </xdr:to>
    <xdr:graphicFrame>
      <xdr:nvGraphicFramePr>
        <xdr:cNvPr id="0" name="Chart 1"/>
        <xdr:cNvGraphicFramePr/>
      </xdr:nvGraphicFramePr>
      <xdr:xfrm>
        <a:off x="10479240" y="2476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28</xdr:row>
      <xdr:rowOff>170640</xdr:rowOff>
    </xdr:from>
    <xdr:to>
      <xdr:col>11</xdr:col>
      <xdr:colOff>770040</xdr:colOff>
      <xdr:row>42</xdr:row>
      <xdr:rowOff>23400</xdr:rowOff>
    </xdr:to>
    <xdr:graphicFrame>
      <xdr:nvGraphicFramePr>
        <xdr:cNvPr id="1" name="Chart 2"/>
        <xdr:cNvGraphicFramePr/>
      </xdr:nvGraphicFramePr>
      <xdr:xfrm>
        <a:off x="10479240" y="5715000"/>
        <a:ext cx="64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131040</xdr:rowOff>
    </xdr:from>
    <xdr:to>
      <xdr:col>20</xdr:col>
      <xdr:colOff>473040</xdr:colOff>
      <xdr:row>19</xdr:row>
      <xdr:rowOff>322560</xdr:rowOff>
    </xdr:to>
    <xdr:graphicFrame>
      <xdr:nvGraphicFramePr>
        <xdr:cNvPr id="2" name="Chart 1"/>
        <xdr:cNvGraphicFramePr/>
      </xdr:nvGraphicFramePr>
      <xdr:xfrm>
        <a:off x="9163080" y="76212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22</xdr:row>
      <xdr:rowOff>170640</xdr:rowOff>
    </xdr:from>
    <xdr:to>
      <xdr:col>20</xdr:col>
      <xdr:colOff>473040</xdr:colOff>
      <xdr:row>37</xdr:row>
      <xdr:rowOff>42480</xdr:rowOff>
    </xdr:to>
    <xdr:graphicFrame>
      <xdr:nvGraphicFramePr>
        <xdr:cNvPr id="3" name="Chart 2"/>
        <xdr:cNvGraphicFramePr/>
      </xdr:nvGraphicFramePr>
      <xdr:xfrm>
        <a:off x="9163080" y="457200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131040</xdr:rowOff>
    </xdr:from>
    <xdr:to>
      <xdr:col>12</xdr:col>
      <xdr:colOff>684720</xdr:colOff>
      <xdr:row>18</xdr:row>
      <xdr:rowOff>2520</xdr:rowOff>
    </xdr:to>
    <xdr:graphicFrame>
      <xdr:nvGraphicFramePr>
        <xdr:cNvPr id="4" name="Chart 1"/>
        <xdr:cNvGraphicFramePr/>
      </xdr:nvGraphicFramePr>
      <xdr:xfrm>
        <a:off x="577980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171000</xdr:rowOff>
    </xdr:from>
    <xdr:to>
      <xdr:col>12</xdr:col>
      <xdr:colOff>684720</xdr:colOff>
      <xdr:row>33</xdr:row>
      <xdr:rowOff>233280</xdr:rowOff>
    </xdr:to>
    <xdr:graphicFrame>
      <xdr:nvGraphicFramePr>
        <xdr:cNvPr id="5" name="Chart 2"/>
        <xdr:cNvGraphicFramePr/>
      </xdr:nvGraphicFramePr>
      <xdr:xfrm>
        <a:off x="5779800" y="4000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34</xdr:row>
      <xdr:rowOff>89280</xdr:rowOff>
    </xdr:from>
    <xdr:to>
      <xdr:col>12</xdr:col>
      <xdr:colOff>684720</xdr:colOff>
      <xdr:row>49</xdr:row>
      <xdr:rowOff>111600</xdr:rowOff>
    </xdr:to>
    <xdr:graphicFrame>
      <xdr:nvGraphicFramePr>
        <xdr:cNvPr id="6" name="Chart 3"/>
        <xdr:cNvGraphicFramePr/>
      </xdr:nvGraphicFramePr>
      <xdr:xfrm>
        <a:off x="5779800" y="7238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53</xdr:row>
      <xdr:rowOff>89640</xdr:rowOff>
    </xdr:from>
    <xdr:to>
      <xdr:col>12</xdr:col>
      <xdr:colOff>684720</xdr:colOff>
      <xdr:row>68</xdr:row>
      <xdr:rowOff>111960</xdr:rowOff>
    </xdr:to>
    <xdr:graphicFrame>
      <xdr:nvGraphicFramePr>
        <xdr:cNvPr id="7" name="Chart 4"/>
        <xdr:cNvGraphicFramePr/>
      </xdr:nvGraphicFramePr>
      <xdr:xfrm>
        <a:off x="5779800" y="10858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131040</xdr:rowOff>
    </xdr:from>
    <xdr:to>
      <xdr:col>17</xdr:col>
      <xdr:colOff>364320</xdr:colOff>
      <xdr:row>18</xdr:row>
      <xdr:rowOff>153000</xdr:rowOff>
    </xdr:to>
    <xdr:graphicFrame>
      <xdr:nvGraphicFramePr>
        <xdr:cNvPr id="8" name="Chart 1"/>
        <xdr:cNvGraphicFramePr/>
      </xdr:nvGraphicFramePr>
      <xdr:xfrm>
        <a:off x="7637040" y="762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131040</xdr:rowOff>
    </xdr:from>
    <xdr:to>
      <xdr:col>18</xdr:col>
      <xdr:colOff>364320</xdr:colOff>
      <xdr:row>18</xdr:row>
      <xdr:rowOff>2520</xdr:rowOff>
    </xdr:to>
    <xdr:graphicFrame>
      <xdr:nvGraphicFramePr>
        <xdr:cNvPr id="9" name="Chart 1"/>
        <xdr:cNvGraphicFramePr/>
      </xdr:nvGraphicFramePr>
      <xdr:xfrm>
        <a:off x="7873200" y="762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D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70"/>
  </cols>
  <sheetData>
    <row r="1" customFormat="false" ht="19.7" hidden="false" customHeight="false" outlineLevel="0" collapsed="false">
      <c r="A1" s="1"/>
      <c r="B1" s="1" t="s">
        <v>0</v>
      </c>
      <c r="C1" s="2"/>
      <c r="D1" s="2"/>
    </row>
    <row r="2" customFormat="false" ht="15" hidden="false" customHeight="false" outlineLevel="0" collapsed="false">
      <c r="A2" s="3" t="s">
        <v>1</v>
      </c>
      <c r="B2" s="4" t="s">
        <v>2</v>
      </c>
      <c r="C2" s="2"/>
      <c r="D2" s="2"/>
    </row>
    <row r="3" customFormat="false" ht="15" hidden="false" customHeight="false" outlineLevel="0" collapsed="false">
      <c r="A3" s="2"/>
      <c r="B3" s="5" t="s">
        <v>1</v>
      </c>
      <c r="C3" s="2"/>
      <c r="D3" s="2"/>
    </row>
    <row r="4" customFormat="false" ht="30" hidden="false" customHeight="true" outlineLevel="0" collapsed="false">
      <c r="A4" s="2"/>
      <c r="B4" s="6" t="s">
        <v>3</v>
      </c>
      <c r="C4" s="6"/>
      <c r="D4" s="6"/>
    </row>
    <row r="5" customFormat="false" ht="18" hidden="false" customHeight="true" outlineLevel="0" collapsed="false">
      <c r="A5" s="2"/>
      <c r="B5" s="6"/>
      <c r="C5" s="6"/>
      <c r="D5" s="6"/>
    </row>
    <row r="6" customFormat="false" ht="15" hidden="false" customHeight="false" outlineLevel="0" collapsed="false">
      <c r="A6" s="2"/>
      <c r="B6" s="2"/>
      <c r="C6" s="2"/>
      <c r="D6" s="2"/>
    </row>
    <row r="7" customFormat="false" ht="15" hidden="false" customHeight="false" outlineLevel="0" collapsed="false">
      <c r="A7" s="2"/>
      <c r="B7" s="7" t="s">
        <v>4</v>
      </c>
      <c r="C7" s="2"/>
      <c r="D7" s="2"/>
    </row>
    <row r="8" customFormat="false" ht="15" hidden="false" customHeight="false" outlineLevel="0" collapsed="false">
      <c r="A8" s="2"/>
      <c r="B8" s="2" t="s">
        <v>5</v>
      </c>
      <c r="C8" s="8" t="str">
        <f aca="false">Voyage_PnL!B8</f>
        <v>USG-ARA transatlantic</v>
      </c>
      <c r="D8" s="2"/>
    </row>
    <row r="9" customFormat="false" ht="15" hidden="false" customHeight="false" outlineLevel="0" collapsed="false">
      <c r="A9" s="2"/>
      <c r="B9" s="2" t="s">
        <v>6</v>
      </c>
      <c r="C9" s="9" t="n">
        <f aca="false">Voyage_PnL!B20</f>
        <v>49.4074074074074</v>
      </c>
      <c r="D9" s="2"/>
    </row>
    <row r="10" customFormat="false" ht="15" hidden="false" customHeight="false" outlineLevel="0" collapsed="false">
      <c r="A10" s="2"/>
      <c r="B10" s="2" t="s">
        <v>7</v>
      </c>
      <c r="C10" s="10" t="n">
        <f aca="false">Voyage_PnL!B25</f>
        <v>2275200</v>
      </c>
      <c r="D10" s="2"/>
    </row>
    <row r="11" customFormat="false" ht="15" hidden="false" customHeight="false" outlineLevel="0" collapsed="false">
      <c r="A11" s="2"/>
      <c r="B11" s="2" t="s">
        <v>8</v>
      </c>
      <c r="C11" s="10" t="n">
        <f aca="false">Voyage_PnL!B39</f>
        <v>1053580.96235</v>
      </c>
      <c r="D11" s="2"/>
    </row>
    <row r="12" customFormat="false" ht="15" hidden="false" customHeight="false" outlineLevel="0" collapsed="false">
      <c r="A12" s="2"/>
      <c r="B12" s="2" t="s">
        <v>9</v>
      </c>
      <c r="C12" s="10" t="n">
        <f aca="false">Voyage_PnL!B43</f>
        <v>23574.1784232009</v>
      </c>
      <c r="D12" s="2"/>
    </row>
    <row r="13" customFormat="false" ht="15" hidden="false" customHeight="false" outlineLevel="0" collapsed="false">
      <c r="A13" s="2"/>
      <c r="B13" s="2" t="s">
        <v>10</v>
      </c>
      <c r="C13" s="10" t="n">
        <f aca="false">Benchmark</f>
        <v>18000</v>
      </c>
      <c r="D13" s="2"/>
    </row>
    <row r="14" customFormat="false" ht="15" hidden="false" customHeight="false" outlineLevel="0" collapsed="false">
      <c r="A14" s="2"/>
      <c r="B14" s="2" t="s">
        <v>11</v>
      </c>
      <c r="C14" s="10" t="n">
        <f aca="false">Voyage_PnL!B46</f>
        <v>275405.704316667</v>
      </c>
      <c r="D14" s="2"/>
    </row>
    <row r="15" customFormat="false" ht="15" hidden="false" customHeight="false" outlineLevel="0" collapsed="false">
      <c r="A15" s="2"/>
      <c r="B15" s="2" t="s">
        <v>12</v>
      </c>
      <c r="C15" s="11" t="n">
        <f aca="false">Voyage_PnL!B47</f>
        <v>42.7690395737668</v>
      </c>
      <c r="D15" s="2"/>
    </row>
    <row r="16" customFormat="false" ht="15" hidden="false" customHeight="false" outlineLevel="0" collapsed="false">
      <c r="A16" s="2"/>
      <c r="B16" s="2" t="s">
        <v>13</v>
      </c>
      <c r="C16" s="8" t="str">
        <f aca="false">Sensitivity!A21</f>
        <v>Freight rate (market)</v>
      </c>
      <c r="D16" s="2"/>
    </row>
    <row r="17" customFormat="false" ht="15" hidden="false" customHeight="false" outlineLevel="0" collapsed="false">
      <c r="A17" s="2"/>
      <c r="B17" s="2" t="s">
        <v>14</v>
      </c>
      <c r="C17" s="8" t="str">
        <f aca="false">Voyage_PnL!C60</f>
        <v>OK</v>
      </c>
      <c r="D17" s="2"/>
    </row>
    <row r="18" customFormat="false" ht="15" hidden="false" customHeight="false" outlineLevel="0" collapsed="false">
      <c r="A18" s="2"/>
      <c r="B18" s="2"/>
      <c r="C18" s="2"/>
      <c r="D18" s="2"/>
    </row>
    <row r="19" customFormat="false" ht="15" hidden="false" customHeight="false" outlineLevel="0" collapsed="false">
      <c r="A19" s="2"/>
      <c r="B19" s="2"/>
      <c r="C19" s="2"/>
      <c r="D19" s="2"/>
    </row>
    <row r="20" customFormat="false" ht="15" hidden="false" customHeight="false" outlineLevel="0" collapsed="false">
      <c r="A20" s="2"/>
      <c r="B20" s="7" t="s">
        <v>15</v>
      </c>
      <c r="C20" s="2"/>
      <c r="D20" s="2"/>
    </row>
    <row r="21" customFormat="false" ht="15" hidden="false" customHeight="false" outlineLevel="0" collapsed="false">
      <c r="A21" s="2"/>
      <c r="B21" s="2" t="s">
        <v>16</v>
      </c>
      <c r="C21" s="2"/>
      <c r="D21" s="2"/>
    </row>
    <row r="22" customFormat="false" ht="15" hidden="false" customHeight="false" outlineLevel="0" collapsed="false">
      <c r="A22" s="2"/>
      <c r="B22" s="2" t="s">
        <v>17</v>
      </c>
      <c r="C22" s="2"/>
      <c r="D22" s="2"/>
    </row>
    <row r="23" customFormat="false" ht="15" hidden="false" customHeight="false" outlineLevel="0" collapsed="false">
      <c r="A23" s="2"/>
      <c r="B23" s="2" t="s">
        <v>18</v>
      </c>
      <c r="C23" s="2"/>
      <c r="D23" s="2"/>
    </row>
    <row r="24" customFormat="false" ht="15" hidden="false" customHeight="false" outlineLevel="0" collapsed="false">
      <c r="A24" s="2"/>
      <c r="B24" s="2" t="s">
        <v>19</v>
      </c>
      <c r="C24" s="2"/>
      <c r="D24" s="2"/>
    </row>
    <row r="25" customFormat="false" ht="15" hidden="false" customHeight="false" outlineLevel="0" collapsed="false">
      <c r="A25" s="2"/>
      <c r="B25" s="2" t="s">
        <v>20</v>
      </c>
      <c r="C25" s="2"/>
      <c r="D25" s="2"/>
    </row>
    <row r="26" customFormat="false" ht="15" hidden="false" customHeight="false" outlineLevel="0" collapsed="false">
      <c r="A26" s="2"/>
      <c r="B26" s="2"/>
      <c r="C26" s="2"/>
      <c r="D26" s="2"/>
    </row>
    <row r="27" customFormat="false" ht="15" hidden="false" customHeight="false" outlineLevel="0" collapsed="false">
      <c r="A27" s="2"/>
      <c r="B27" s="7" t="s">
        <v>21</v>
      </c>
      <c r="C27" s="2"/>
      <c r="D27" s="2"/>
    </row>
    <row r="28" customFormat="false" ht="15" hidden="false" customHeight="false" outlineLevel="0" collapsed="false">
      <c r="A28" s="2"/>
      <c r="B28" s="12" t="s">
        <v>22</v>
      </c>
      <c r="C28" s="2"/>
      <c r="D28" s="2"/>
    </row>
    <row r="29" customFormat="false" ht="15" hidden="false" customHeight="false" outlineLevel="0" collapsed="false">
      <c r="A29" s="2"/>
      <c r="B29" s="13" t="s">
        <v>23</v>
      </c>
      <c r="C29" s="2"/>
      <c r="D29" s="2"/>
    </row>
    <row r="30" customFormat="false" ht="15" hidden="false" customHeight="false" outlineLevel="0" collapsed="false">
      <c r="A30" s="2"/>
      <c r="B30" s="14" t="s">
        <v>24</v>
      </c>
      <c r="C30" s="2"/>
      <c r="D30" s="2"/>
    </row>
    <row r="31" customFormat="false" ht="15" hidden="false" customHeight="false" outlineLevel="0" collapsed="false">
      <c r="A31" s="2"/>
      <c r="B31" s="15" t="s">
        <v>25</v>
      </c>
      <c r="C31" s="2"/>
      <c r="D31" s="2"/>
    </row>
    <row r="32" customFormat="false" ht="15" hidden="false" customHeight="false" outlineLevel="0" collapsed="false">
      <c r="A32" s="2"/>
      <c r="B32" s="16" t="s">
        <v>26</v>
      </c>
      <c r="C32" s="2"/>
      <c r="D32" s="2"/>
    </row>
    <row r="33" customFormat="false" ht="15" hidden="false" customHeight="false" outlineLevel="0" collapsed="false">
      <c r="A33" s="2"/>
      <c r="B33" s="17" t="s">
        <v>27</v>
      </c>
      <c r="C33" s="2"/>
      <c r="D33" s="2"/>
    </row>
    <row r="34" customFormat="false" ht="15" hidden="false" customHeight="false" outlineLevel="0" collapsed="false">
      <c r="A34" s="2"/>
      <c r="B34" s="2"/>
      <c r="C34" s="2"/>
      <c r="D34" s="2"/>
    </row>
    <row r="35" customFormat="false" ht="15" hidden="false" customHeight="false" outlineLevel="0" collapsed="false">
      <c r="A35" s="2"/>
      <c r="B35" s="7" t="s">
        <v>28</v>
      </c>
      <c r="C35" s="2"/>
      <c r="D35" s="2"/>
    </row>
    <row r="36" customFormat="false" ht="30" hidden="false" customHeight="true" outlineLevel="0" collapsed="false">
      <c r="A36" s="2"/>
      <c r="B36" s="18" t="s">
        <v>29</v>
      </c>
      <c r="C36" s="19" t="s">
        <v>30</v>
      </c>
      <c r="D36" s="19"/>
    </row>
    <row r="37" customFormat="false" ht="30" hidden="false" customHeight="true" outlineLevel="0" collapsed="false">
      <c r="A37" s="2"/>
      <c r="B37" s="18" t="s">
        <v>31</v>
      </c>
      <c r="C37" s="19" t="s">
        <v>32</v>
      </c>
      <c r="D37" s="19"/>
    </row>
    <row r="38" customFormat="false" ht="30" hidden="false" customHeight="true" outlineLevel="0" collapsed="false">
      <c r="A38" s="2"/>
      <c r="B38" s="18" t="s">
        <v>33</v>
      </c>
      <c r="C38" s="19" t="s">
        <v>34</v>
      </c>
      <c r="D38" s="19"/>
    </row>
    <row r="39" customFormat="false" ht="30" hidden="false" customHeight="true" outlineLevel="0" collapsed="false">
      <c r="A39" s="2"/>
      <c r="B39" s="18" t="s">
        <v>35</v>
      </c>
      <c r="C39" s="19" t="s">
        <v>36</v>
      </c>
      <c r="D39" s="19"/>
    </row>
    <row r="40" customFormat="false" ht="30" hidden="false" customHeight="true" outlineLevel="0" collapsed="false">
      <c r="A40" s="2"/>
      <c r="B40" s="18" t="s">
        <v>37</v>
      </c>
      <c r="C40" s="19" t="s">
        <v>38</v>
      </c>
      <c r="D40" s="19"/>
    </row>
    <row r="41" customFormat="false" ht="15" hidden="false" customHeight="false" outlineLevel="0" collapsed="false">
      <c r="A41" s="2"/>
      <c r="B41" s="2"/>
      <c r="C41" s="2"/>
      <c r="D41" s="2"/>
    </row>
    <row r="42" customFormat="false" ht="15" hidden="false" customHeight="false" outlineLevel="0" collapsed="false">
      <c r="A42" s="2"/>
      <c r="B42" s="7" t="s">
        <v>39</v>
      </c>
      <c r="C42" s="2"/>
      <c r="D42" s="2"/>
    </row>
    <row r="43" customFormat="false" ht="15" hidden="false" customHeight="false" outlineLevel="0" collapsed="false">
      <c r="A43" s="2"/>
      <c r="B43" s="2" t="s">
        <v>40</v>
      </c>
      <c r="C43" s="2"/>
      <c r="D43" s="2"/>
    </row>
    <row r="44" customFormat="false" ht="15" hidden="false" customHeight="false" outlineLevel="0" collapsed="false">
      <c r="A44" s="2"/>
      <c r="B44" s="2" t="s">
        <v>41</v>
      </c>
      <c r="C44" s="2"/>
      <c r="D44" s="2"/>
    </row>
    <row r="45" customFormat="false" ht="15" hidden="false" customHeight="false" outlineLevel="0" collapsed="false">
      <c r="A45" s="2"/>
      <c r="B45" s="2" t="s">
        <v>42</v>
      </c>
      <c r="C45" s="2"/>
      <c r="D45" s="2"/>
    </row>
    <row r="46" customFormat="false" ht="15" hidden="false" customHeight="false" outlineLevel="0" collapsed="false">
      <c r="A46" s="2"/>
      <c r="B46" s="2" t="s">
        <v>43</v>
      </c>
      <c r="C46" s="2"/>
      <c r="D46" s="2"/>
    </row>
    <row r="47" customFormat="false" ht="15" hidden="false" customHeight="false" outlineLevel="0" collapsed="false">
      <c r="A47" s="2"/>
      <c r="B47" s="2" t="s">
        <v>44</v>
      </c>
      <c r="C47" s="2"/>
      <c r="D47" s="2"/>
    </row>
    <row r="48" customFormat="false" ht="15" hidden="false" customHeight="false" outlineLevel="0" collapsed="false">
      <c r="A48" s="2"/>
      <c r="B48" s="2" t="s">
        <v>45</v>
      </c>
      <c r="C48" s="2"/>
      <c r="D48" s="2"/>
    </row>
    <row r="49" customFormat="false" ht="15" hidden="false" customHeight="false" outlineLevel="0" collapsed="false">
      <c r="A49" s="2"/>
      <c r="B49" s="2" t="s">
        <v>46</v>
      </c>
      <c r="C49" s="2"/>
      <c r="D49" s="2"/>
    </row>
    <row r="50" customFormat="false" ht="15" hidden="false" customHeight="false" outlineLevel="0" collapsed="false">
      <c r="A50" s="2"/>
      <c r="B50" s="2" t="s">
        <v>47</v>
      </c>
      <c r="C50" s="2"/>
      <c r="D50" s="2"/>
    </row>
    <row r="51" customFormat="false" ht="15" hidden="false" customHeight="false" outlineLevel="0" collapsed="false">
      <c r="A51" s="2"/>
      <c r="B51" s="2" t="s">
        <v>48</v>
      </c>
      <c r="C51" s="2"/>
      <c r="D51" s="2"/>
    </row>
  </sheetData>
  <mergeCells count="6">
    <mergeCell ref="B4:D5"/>
    <mergeCell ref="C36:D36"/>
    <mergeCell ref="C37:D37"/>
    <mergeCell ref="C38:D38"/>
    <mergeCell ref="C39:D39"/>
    <mergeCell ref="C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D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70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49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20" t="s">
        <v>50</v>
      </c>
      <c r="B3" s="2"/>
      <c r="C3" s="2"/>
      <c r="D3" s="2"/>
    </row>
    <row r="4" customFormat="false" ht="15" hidden="false" customHeight="false" outlineLevel="0" collapsed="false">
      <c r="A4" s="2"/>
      <c r="B4" s="2"/>
      <c r="C4" s="2"/>
      <c r="D4" s="2"/>
    </row>
    <row r="5" customFormat="false" ht="15" hidden="false" customHeight="false" outlineLevel="0" collapsed="false">
      <c r="A5" s="7" t="s">
        <v>51</v>
      </c>
      <c r="B5" s="2"/>
      <c r="C5" s="2"/>
      <c r="D5" s="2"/>
    </row>
    <row r="6" customFormat="false" ht="15" hidden="false" customHeight="false" outlineLevel="0" collapsed="false">
      <c r="A6" s="21" t="s">
        <v>52</v>
      </c>
      <c r="B6" s="21" t="s">
        <v>53</v>
      </c>
      <c r="C6" s="21" t="s">
        <v>54</v>
      </c>
      <c r="D6" s="21" t="s">
        <v>55</v>
      </c>
    </row>
    <row r="7" customFormat="false" ht="26.85" hidden="false" customHeight="false" outlineLevel="0" collapsed="false">
      <c r="A7" s="18" t="s">
        <v>56</v>
      </c>
      <c r="B7" s="22" t="n">
        <v>1</v>
      </c>
      <c r="C7" s="2" t="str">
        <f aca="false">INDEX(Routes!$B$6:$B$9,Sw_Route)</f>
        <v>USG-ARA transatlantic</v>
      </c>
      <c r="D7" s="23" t="s">
        <v>57</v>
      </c>
    </row>
    <row r="8" customFormat="false" ht="26.85" hidden="false" customHeight="false" outlineLevel="0" collapsed="false">
      <c r="A8" s="18" t="s">
        <v>58</v>
      </c>
      <c r="B8" s="22" t="n">
        <v>1</v>
      </c>
      <c r="C8" s="2" t="str">
        <f aca="false">TEXT(Brent,"$0.00")&amp;"/bbl Brent"</f>
        <v>$82.01/bbl Brent</v>
      </c>
      <c r="D8" s="23" t="s">
        <v>59</v>
      </c>
    </row>
    <row r="9" customFormat="false" ht="26.85" hidden="false" customHeight="false" outlineLevel="0" collapsed="false">
      <c r="A9" s="18" t="s">
        <v>60</v>
      </c>
      <c r="B9" s="22" t="n">
        <v>1</v>
      </c>
      <c r="C9" s="2" t="str">
        <f aca="false">TEXT(FreightMult,"0.00")&amp;"x base rates"</f>
        <v>1.00x base rates</v>
      </c>
      <c r="D9" s="23" t="s">
        <v>61</v>
      </c>
    </row>
    <row r="10" customFormat="false" ht="26.85" hidden="false" customHeight="false" outlineLevel="0" collapsed="false">
      <c r="A10" s="18" t="s">
        <v>62</v>
      </c>
      <c r="B10" s="22" t="n">
        <v>1</v>
      </c>
      <c r="C10" s="2" t="str">
        <f aca="false">TEXT(PortMult,"0.00")&amp;"x port days"</f>
        <v>1.00x port days</v>
      </c>
      <c r="D10" s="23" t="s">
        <v>63</v>
      </c>
    </row>
    <row r="11" customFormat="false" ht="26.85" hidden="false" customHeight="false" outlineLevel="0" collapsed="false">
      <c r="A11" s="18" t="s">
        <v>64</v>
      </c>
      <c r="B11" s="22" t="n">
        <v>1</v>
      </c>
      <c r="C11" s="2" t="str">
        <f aca="false">TEXT(UtilFH,"0%")&amp;" / "&amp;TEXT(UtilBH,"0%")</f>
        <v>85% / 50%</v>
      </c>
      <c r="D11" s="23" t="s">
        <v>65</v>
      </c>
    </row>
    <row r="12" customFormat="false" ht="15" hidden="false" customHeight="false" outlineLevel="0" collapsed="false">
      <c r="A12" s="2"/>
      <c r="B12" s="2"/>
      <c r="C12" s="2"/>
      <c r="D12" s="2"/>
    </row>
    <row r="13" customFormat="false" ht="15" hidden="false" customHeight="false" outlineLevel="0" collapsed="false">
      <c r="A13" s="7" t="s">
        <v>66</v>
      </c>
      <c r="B13" s="2"/>
      <c r="C13" s="2"/>
      <c r="D13" s="2"/>
    </row>
    <row r="14" customFormat="false" ht="15" hidden="false" customHeight="false" outlineLevel="0" collapsed="false">
      <c r="A14" s="21" t="s">
        <v>67</v>
      </c>
      <c r="B14" s="21" t="s">
        <v>68</v>
      </c>
      <c r="C14" s="21" t="s">
        <v>69</v>
      </c>
      <c r="D14" s="21" t="s">
        <v>70</v>
      </c>
    </row>
    <row r="15" customFormat="false" ht="15" hidden="false" customHeight="false" outlineLevel="0" collapsed="false">
      <c r="A15" s="2" t="s">
        <v>71</v>
      </c>
      <c r="B15" s="24" t="n">
        <v>80</v>
      </c>
      <c r="C15" s="2" t="s">
        <v>72</v>
      </c>
      <c r="D15" s="25" t="s">
        <v>73</v>
      </c>
    </row>
    <row r="16" customFormat="false" ht="15" hidden="false" customHeight="false" outlineLevel="0" collapsed="false">
      <c r="A16" s="2" t="s">
        <v>74</v>
      </c>
      <c r="B16" s="26" t="n">
        <v>1</v>
      </c>
      <c r="C16" s="2" t="s">
        <v>75</v>
      </c>
      <c r="D16" s="25" t="s">
        <v>73</v>
      </c>
    </row>
    <row r="17" customFormat="false" ht="15" hidden="false" customHeight="false" outlineLevel="0" collapsed="false">
      <c r="A17" s="2" t="s">
        <v>76</v>
      </c>
      <c r="B17" s="26" t="n">
        <v>1</v>
      </c>
      <c r="C17" s="2" t="s">
        <v>77</v>
      </c>
      <c r="D17" s="25" t="s">
        <v>73</v>
      </c>
    </row>
    <row r="18" customFormat="false" ht="15" hidden="false" customHeight="false" outlineLevel="0" collapsed="false">
      <c r="A18" s="2" t="s">
        <v>78</v>
      </c>
      <c r="B18" s="27" t="n">
        <v>0.85</v>
      </c>
      <c r="C18" s="2" t="s">
        <v>79</v>
      </c>
      <c r="D18" s="25" t="s">
        <v>73</v>
      </c>
    </row>
    <row r="19" customFormat="false" ht="15" hidden="false" customHeight="false" outlineLevel="0" collapsed="false">
      <c r="A19" s="2" t="s">
        <v>80</v>
      </c>
      <c r="B19" s="27" t="n">
        <v>0.5</v>
      </c>
      <c r="C19" s="2" t="s">
        <v>79</v>
      </c>
      <c r="D19" s="25" t="s">
        <v>81</v>
      </c>
    </row>
    <row r="20" customFormat="false" ht="15" hidden="false" customHeight="false" outlineLevel="0" collapsed="false">
      <c r="A20" s="2"/>
      <c r="B20" s="2"/>
      <c r="C20" s="2"/>
      <c r="D20" s="2"/>
    </row>
    <row r="21" customFormat="false" ht="15" hidden="false" customHeight="false" outlineLevel="0" collapsed="false">
      <c r="A21" s="7" t="s">
        <v>82</v>
      </c>
      <c r="B21" s="2"/>
      <c r="C21" s="2"/>
      <c r="D21" s="2"/>
    </row>
    <row r="22" customFormat="false" ht="15" hidden="false" customHeight="false" outlineLevel="0" collapsed="false">
      <c r="A22" s="21" t="s">
        <v>83</v>
      </c>
      <c r="B22" s="21" t="s">
        <v>84</v>
      </c>
      <c r="C22" s="21" t="s">
        <v>69</v>
      </c>
      <c r="D22" s="21" t="s">
        <v>85</v>
      </c>
    </row>
    <row r="23" customFormat="false" ht="15" hidden="false" customHeight="false" outlineLevel="0" collapsed="false">
      <c r="A23" s="2" t="s">
        <v>86</v>
      </c>
      <c r="B23" s="28" t="n">
        <f aca="false">CHOOSE(Sw_Bunker,Brent_TTM,Brent_Latest,Brent_5Y,Brent_P10,Brent_P90,Cust_Brent)</f>
        <v>82.01</v>
      </c>
      <c r="C23" s="2" t="s">
        <v>72</v>
      </c>
      <c r="D23" s="25" t="s">
        <v>87</v>
      </c>
    </row>
    <row r="24" customFormat="false" ht="15" hidden="false" customHeight="false" outlineLevel="0" collapsed="false">
      <c r="A24" s="2" t="s">
        <v>88</v>
      </c>
      <c r="B24" s="29" t="n">
        <f aca="false">CHOOSE(Sw_Freight,1,Freight_Low,Freight_High,Cust_Freight)</f>
        <v>1</v>
      </c>
      <c r="C24" s="2" t="s">
        <v>75</v>
      </c>
      <c r="D24" s="25" t="s">
        <v>89</v>
      </c>
    </row>
    <row r="25" customFormat="false" ht="26.85" hidden="false" customHeight="false" outlineLevel="0" collapsed="false">
      <c r="A25" s="2" t="s">
        <v>90</v>
      </c>
      <c r="B25" s="29" t="n">
        <f aca="false">CHOOSE(Sw_Port,1,1.5,2,Cust_Port)</f>
        <v>1</v>
      </c>
      <c r="C25" s="2" t="s">
        <v>77</v>
      </c>
      <c r="D25" s="25" t="s">
        <v>91</v>
      </c>
    </row>
    <row r="26" customFormat="false" ht="15" hidden="false" customHeight="false" outlineLevel="0" collapsed="false">
      <c r="A26" s="2" t="s">
        <v>92</v>
      </c>
      <c r="B26" s="30" t="n">
        <f aca="false">CHOOSE(Sw_Util,0.85,0.7,0.95,Cust_UtilFH)</f>
        <v>0.85</v>
      </c>
      <c r="C26" s="2" t="s">
        <v>79</v>
      </c>
      <c r="D26" s="25" t="s">
        <v>93</v>
      </c>
    </row>
    <row r="27" customFormat="false" ht="15" hidden="false" customHeight="false" outlineLevel="0" collapsed="false">
      <c r="A27" s="2" t="s">
        <v>94</v>
      </c>
      <c r="B27" s="30" t="n">
        <f aca="false">CHOOSE(Sw_Util,0.5,0.25,0.75,Cust_UtilBH)</f>
        <v>0.5</v>
      </c>
      <c r="C27" s="2" t="s">
        <v>79</v>
      </c>
      <c r="D27" s="25" t="s">
        <v>93</v>
      </c>
    </row>
    <row r="28" customFormat="false" ht="15" hidden="false" customHeight="false" outlineLevel="0" collapsed="false">
      <c r="A28" s="2"/>
      <c r="B28" s="2"/>
      <c r="C28" s="2"/>
      <c r="D28" s="2"/>
    </row>
    <row r="29" customFormat="false" ht="15" hidden="false" customHeight="false" outlineLevel="0" collapsed="false">
      <c r="A29" s="7" t="s">
        <v>95</v>
      </c>
      <c r="B29" s="2"/>
      <c r="C29" s="2"/>
      <c r="D29" s="2"/>
    </row>
    <row r="30" customFormat="false" ht="15" hidden="false" customHeight="false" outlineLevel="0" collapsed="false">
      <c r="A30" s="21" t="s">
        <v>96</v>
      </c>
      <c r="B30" s="21" t="s">
        <v>68</v>
      </c>
      <c r="C30" s="21" t="s">
        <v>69</v>
      </c>
      <c r="D30" s="21" t="s">
        <v>97</v>
      </c>
    </row>
    <row r="31" customFormat="false" ht="26.85" hidden="false" customHeight="false" outlineLevel="0" collapsed="false">
      <c r="A31" s="2" t="s">
        <v>98</v>
      </c>
      <c r="B31" s="31" t="n">
        <v>38000</v>
      </c>
      <c r="C31" s="2" t="s">
        <v>99</v>
      </c>
      <c r="D31" s="25" t="s">
        <v>100</v>
      </c>
    </row>
    <row r="32" customFormat="false" ht="15" hidden="false" customHeight="false" outlineLevel="0" collapsed="false">
      <c r="A32" s="2" t="s">
        <v>101</v>
      </c>
      <c r="B32" s="31" t="n">
        <v>36000</v>
      </c>
      <c r="C32" s="2" t="s">
        <v>99</v>
      </c>
      <c r="D32" s="25" t="s">
        <v>102</v>
      </c>
    </row>
    <row r="33" customFormat="false" ht="15" hidden="false" customHeight="false" outlineLevel="0" collapsed="false">
      <c r="A33" s="2" t="s">
        <v>103</v>
      </c>
      <c r="B33" s="32" t="n">
        <v>13.5</v>
      </c>
      <c r="C33" s="2" t="s">
        <v>104</v>
      </c>
      <c r="D33" s="25" t="s">
        <v>105</v>
      </c>
    </row>
    <row r="34" customFormat="false" ht="15" hidden="false" customHeight="false" outlineLevel="0" collapsed="false">
      <c r="A34" s="2" t="s">
        <v>106</v>
      </c>
      <c r="B34" s="33" t="n">
        <v>13.5</v>
      </c>
      <c r="C34" s="2" t="s">
        <v>104</v>
      </c>
      <c r="D34" s="25" t="s">
        <v>107</v>
      </c>
    </row>
    <row r="35" customFormat="false" ht="15" hidden="false" customHeight="false" outlineLevel="0" collapsed="false">
      <c r="A35" s="2" t="s">
        <v>108</v>
      </c>
      <c r="B35" s="32" t="n">
        <v>27</v>
      </c>
      <c r="C35" s="2" t="s">
        <v>109</v>
      </c>
      <c r="D35" s="25" t="s">
        <v>110</v>
      </c>
    </row>
    <row r="36" customFormat="false" ht="26.85" hidden="false" customHeight="false" outlineLevel="0" collapsed="false">
      <c r="A36" s="2" t="s">
        <v>111</v>
      </c>
      <c r="B36" s="33" t="n">
        <v>24</v>
      </c>
      <c r="C36" s="2" t="s">
        <v>109</v>
      </c>
      <c r="D36" s="25" t="s">
        <v>112</v>
      </c>
    </row>
    <row r="37" customFormat="false" ht="26.85" hidden="false" customHeight="false" outlineLevel="0" collapsed="false">
      <c r="A37" s="2" t="s">
        <v>113</v>
      </c>
      <c r="B37" s="32" t="n">
        <v>6</v>
      </c>
      <c r="C37" s="2" t="s">
        <v>109</v>
      </c>
      <c r="D37" s="25" t="s">
        <v>114</v>
      </c>
    </row>
    <row r="38" customFormat="false" ht="15" hidden="false" customHeight="false" outlineLevel="0" collapsed="false">
      <c r="A38" s="2" t="s">
        <v>115</v>
      </c>
      <c r="B38" s="33" t="n">
        <v>3</v>
      </c>
      <c r="C38" s="2"/>
      <c r="D38" s="25" t="s">
        <v>116</v>
      </c>
    </row>
    <row r="39" customFormat="false" ht="15" hidden="false" customHeight="false" outlineLevel="0" collapsed="false">
      <c r="A39" s="2" t="s">
        <v>117</v>
      </c>
      <c r="B39" s="27" t="n">
        <v>0.05</v>
      </c>
      <c r="C39" s="2" t="s">
        <v>118</v>
      </c>
      <c r="D39" s="25" t="s">
        <v>119</v>
      </c>
    </row>
    <row r="40" customFormat="false" ht="15" hidden="false" customHeight="false" outlineLevel="0" collapsed="false">
      <c r="A40" s="2" t="s">
        <v>120</v>
      </c>
      <c r="B40" s="34" t="n">
        <v>20000</v>
      </c>
      <c r="C40" s="2" t="s">
        <v>99</v>
      </c>
      <c r="D40" s="25" t="s">
        <v>121</v>
      </c>
    </row>
    <row r="41" customFormat="false" ht="15" hidden="false" customHeight="false" outlineLevel="0" collapsed="false">
      <c r="A41" s="2" t="s">
        <v>122</v>
      </c>
      <c r="B41" s="34" t="n">
        <v>20000</v>
      </c>
      <c r="C41" s="2" t="s">
        <v>99</v>
      </c>
      <c r="D41" s="25" t="s">
        <v>121</v>
      </c>
    </row>
    <row r="42" customFormat="false" ht="15" hidden="false" customHeight="false" outlineLevel="0" collapsed="false">
      <c r="A42" s="2" t="s">
        <v>123</v>
      </c>
      <c r="B42" s="35" t="n">
        <v>35000000</v>
      </c>
      <c r="C42" s="2" t="s">
        <v>124</v>
      </c>
      <c r="D42" s="25" t="s">
        <v>125</v>
      </c>
    </row>
    <row r="43" customFormat="false" ht="15" hidden="false" customHeight="false" outlineLevel="0" collapsed="false">
      <c r="A43" s="2"/>
      <c r="B43" s="2"/>
      <c r="C43" s="2"/>
      <c r="D43" s="2"/>
    </row>
    <row r="44" customFormat="false" ht="15" hidden="false" customHeight="false" outlineLevel="0" collapsed="false">
      <c r="A44" s="7" t="s">
        <v>126</v>
      </c>
      <c r="B44" s="2"/>
      <c r="C44" s="2"/>
      <c r="D44" s="2"/>
    </row>
    <row r="45" customFormat="false" ht="15" hidden="false" customHeight="false" outlineLevel="0" collapsed="false">
      <c r="A45" s="21" t="s">
        <v>96</v>
      </c>
      <c r="B45" s="21" t="s">
        <v>68</v>
      </c>
      <c r="C45" s="21" t="s">
        <v>69</v>
      </c>
      <c r="D45" s="21" t="s">
        <v>127</v>
      </c>
    </row>
    <row r="46" customFormat="false" ht="26.85" hidden="false" customHeight="false" outlineLevel="0" collapsed="false">
      <c r="A46" s="2" t="s">
        <v>128</v>
      </c>
      <c r="B46" s="36" t="n">
        <v>7.7</v>
      </c>
      <c r="C46" s="2" t="s">
        <v>129</v>
      </c>
      <c r="D46" s="25" t="s">
        <v>130</v>
      </c>
    </row>
    <row r="47" customFormat="false" ht="26.85" hidden="false" customHeight="false" outlineLevel="0" collapsed="false">
      <c r="A47" s="2" t="s">
        <v>131</v>
      </c>
      <c r="B47" s="36" t="n">
        <v>9.7</v>
      </c>
      <c r="C47" s="2" t="s">
        <v>129</v>
      </c>
      <c r="D47" s="25" t="s">
        <v>132</v>
      </c>
    </row>
    <row r="48" customFormat="false" ht="15" hidden="false" customHeight="false" outlineLevel="0" collapsed="false">
      <c r="A48" s="2" t="s">
        <v>133</v>
      </c>
      <c r="B48" s="27" t="n">
        <v>0.025</v>
      </c>
      <c r="C48" s="2" t="s">
        <v>134</v>
      </c>
      <c r="D48" s="25" t="s">
        <v>135</v>
      </c>
    </row>
    <row r="49" customFormat="false" ht="15" hidden="false" customHeight="false" outlineLevel="0" collapsed="false">
      <c r="A49" s="2" t="s">
        <v>136</v>
      </c>
      <c r="B49" s="35" t="n">
        <v>25000</v>
      </c>
      <c r="C49" s="2" t="s">
        <v>124</v>
      </c>
      <c r="D49" s="25" t="s">
        <v>137</v>
      </c>
    </row>
    <row r="50" customFormat="false" ht="15" hidden="false" customHeight="false" outlineLevel="0" collapsed="false">
      <c r="A50" s="2" t="s">
        <v>138</v>
      </c>
      <c r="B50" s="26" t="n">
        <v>1</v>
      </c>
      <c r="C50" s="2" t="s">
        <v>139</v>
      </c>
      <c r="D50" s="25" t="s">
        <v>140</v>
      </c>
    </row>
    <row r="51" customFormat="false" ht="26.85" hidden="false" customHeight="false" outlineLevel="0" collapsed="false">
      <c r="A51" s="2" t="s">
        <v>141</v>
      </c>
      <c r="B51" s="37" t="n">
        <v>18000</v>
      </c>
      <c r="C51" s="2" t="s">
        <v>142</v>
      </c>
      <c r="D51" s="25" t="s">
        <v>143</v>
      </c>
    </row>
    <row r="52" customFormat="false" ht="15" hidden="false" customHeight="false" outlineLevel="0" collapsed="false">
      <c r="A52" s="2" t="s">
        <v>144</v>
      </c>
      <c r="B52" s="36" t="n">
        <v>75</v>
      </c>
      <c r="C52" s="2" t="s">
        <v>145</v>
      </c>
      <c r="D52" s="25" t="s">
        <v>146</v>
      </c>
    </row>
    <row r="53" customFormat="false" ht="15" hidden="false" customHeight="false" outlineLevel="0" collapsed="false">
      <c r="A53" s="2" t="s">
        <v>147</v>
      </c>
      <c r="B53" s="24" t="n">
        <v>1.1</v>
      </c>
      <c r="C53" s="2" t="s">
        <v>148</v>
      </c>
      <c r="D53" s="25" t="s">
        <v>149</v>
      </c>
    </row>
    <row r="54" customFormat="false" ht="15" hidden="false" customHeight="false" outlineLevel="0" collapsed="false">
      <c r="A54" s="2" t="s">
        <v>150</v>
      </c>
      <c r="B54" s="27" t="n">
        <v>1</v>
      </c>
      <c r="C54" s="2" t="s">
        <v>151</v>
      </c>
      <c r="D54" s="25" t="s">
        <v>152</v>
      </c>
    </row>
    <row r="55" customFormat="false" ht="15" hidden="false" customHeight="false" outlineLevel="0" collapsed="false">
      <c r="A55" s="2" t="s">
        <v>153</v>
      </c>
      <c r="B55" s="38" t="n">
        <v>3.114</v>
      </c>
      <c r="C55" s="2" t="s">
        <v>154</v>
      </c>
      <c r="D55" s="25" t="s">
        <v>155</v>
      </c>
    </row>
    <row r="56" customFormat="false" ht="15" hidden="false" customHeight="false" outlineLevel="0" collapsed="false">
      <c r="A56" s="2" t="s">
        <v>156</v>
      </c>
      <c r="B56" s="38" t="n">
        <v>3.206</v>
      </c>
      <c r="C56" s="2" t="s">
        <v>154</v>
      </c>
      <c r="D56" s="25" t="s">
        <v>157</v>
      </c>
    </row>
    <row r="57" customFormat="false" ht="15" hidden="false" customHeight="false" outlineLevel="0" collapsed="false">
      <c r="A57" s="2"/>
      <c r="B57" s="2"/>
      <c r="C57" s="2"/>
      <c r="D57" s="2"/>
    </row>
    <row r="58" customFormat="false" ht="15" hidden="false" customHeight="false" outlineLevel="0" collapsed="false">
      <c r="A58" s="7" t="s">
        <v>158</v>
      </c>
      <c r="B58" s="2"/>
      <c r="C58" s="2"/>
      <c r="D58" s="2"/>
    </row>
    <row r="59" customFormat="false" ht="15" hidden="false" customHeight="false" outlineLevel="0" collapsed="false">
      <c r="A59" s="21" t="s">
        <v>96</v>
      </c>
      <c r="B59" s="21" t="s">
        <v>68</v>
      </c>
      <c r="C59" s="21" t="s">
        <v>69</v>
      </c>
      <c r="D59" s="21" t="s">
        <v>127</v>
      </c>
    </row>
    <row r="60" customFormat="false" ht="26.85" hidden="false" customHeight="false" outlineLevel="0" collapsed="false">
      <c r="A60" s="2" t="s">
        <v>159</v>
      </c>
      <c r="B60" s="31" t="n">
        <v>23500</v>
      </c>
      <c r="C60" s="2" t="s">
        <v>160</v>
      </c>
      <c r="D60" s="25" t="s">
        <v>161</v>
      </c>
    </row>
    <row r="61" customFormat="false" ht="15" hidden="false" customHeight="false" outlineLevel="0" collapsed="false">
      <c r="A61" s="2" t="s">
        <v>162</v>
      </c>
      <c r="B61" s="34" t="n">
        <v>600</v>
      </c>
      <c r="C61" s="2" t="s">
        <v>163</v>
      </c>
      <c r="D61" s="25" t="s">
        <v>164</v>
      </c>
    </row>
    <row r="62" customFormat="false" ht="15" hidden="false" customHeight="false" outlineLevel="0" collapsed="false">
      <c r="A62" s="2"/>
      <c r="B62" s="2"/>
      <c r="C62" s="2"/>
      <c r="D62" s="2"/>
    </row>
    <row r="63" customFormat="false" ht="15" hidden="false" customHeight="false" outlineLevel="0" collapsed="false">
      <c r="A63" s="7" t="s">
        <v>165</v>
      </c>
      <c r="B63" s="2"/>
      <c r="C63" s="2"/>
      <c r="D63" s="2"/>
    </row>
    <row r="64" customFormat="false" ht="15" hidden="false" customHeight="false" outlineLevel="0" collapsed="false">
      <c r="A64" s="21" t="s">
        <v>96</v>
      </c>
      <c r="B64" s="21" t="s">
        <v>68</v>
      </c>
      <c r="C64" s="21" t="s">
        <v>69</v>
      </c>
      <c r="D64" s="21" t="s">
        <v>127</v>
      </c>
    </row>
    <row r="65" customFormat="false" ht="15" hidden="false" customHeight="false" outlineLevel="0" collapsed="false">
      <c r="A65" s="2" t="s">
        <v>166</v>
      </c>
      <c r="B65" s="39" t="n">
        <v>1.35</v>
      </c>
      <c r="C65" s="2" t="s">
        <v>167</v>
      </c>
      <c r="D65" s="25" t="s">
        <v>168</v>
      </c>
    </row>
    <row r="66" customFormat="false" ht="26.85" hidden="false" customHeight="false" outlineLevel="0" collapsed="false">
      <c r="A66" s="2" t="s">
        <v>169</v>
      </c>
      <c r="B66" s="27" t="n">
        <v>0.2</v>
      </c>
      <c r="C66" s="2" t="s">
        <v>151</v>
      </c>
      <c r="D66" s="25" t="s">
        <v>170</v>
      </c>
    </row>
    <row r="67" customFormat="false" ht="15" hidden="false" customHeight="false" outlineLevel="0" collapsed="false">
      <c r="A67" s="2" t="s">
        <v>171</v>
      </c>
      <c r="B67" s="27" t="n">
        <v>0.15</v>
      </c>
      <c r="C67" s="2" t="s">
        <v>151</v>
      </c>
      <c r="D67" s="25" t="s">
        <v>172</v>
      </c>
    </row>
    <row r="68" customFormat="false" ht="15" hidden="false" customHeight="false" outlineLevel="0" collapsed="false">
      <c r="A68" s="2" t="s">
        <v>173</v>
      </c>
      <c r="B68" s="35" t="n">
        <v>40000</v>
      </c>
      <c r="C68" s="2" t="s">
        <v>124</v>
      </c>
      <c r="D68" s="25" t="s">
        <v>174</v>
      </c>
    </row>
    <row r="69" customFormat="false" ht="26.85" hidden="false" customHeight="false" outlineLevel="0" collapsed="false">
      <c r="A69" s="2" t="s">
        <v>175</v>
      </c>
      <c r="B69" s="40" t="n">
        <v>0.0025</v>
      </c>
      <c r="C69" s="2" t="s">
        <v>176</v>
      </c>
      <c r="D69" s="25" t="s">
        <v>177</v>
      </c>
    </row>
    <row r="70" customFormat="false" ht="15" hidden="false" customHeight="false" outlineLevel="0" collapsed="false">
      <c r="A70" s="2" t="s">
        <v>178</v>
      </c>
      <c r="B70" s="34" t="n">
        <v>8</v>
      </c>
      <c r="C70" s="2" t="s">
        <v>179</v>
      </c>
      <c r="D70" s="25" t="s">
        <v>149</v>
      </c>
    </row>
  </sheetData>
  <dataValidations count="2">
    <dataValidation allowBlank="false" errorStyle="stop" operator="between" showDropDown="false" showErrorMessage="false" showInputMessage="false" sqref="B7 B9:B11" type="list">
      <formula1>"1,2,3,4"</formula1>
      <formula2>0</formula2>
    </dataValidation>
    <dataValidation allowBlank="false" errorStyle="stop" operator="between" showDropDown="false" showErrorMessage="false" showInputMessage="false" sqref="B8" type="list">
      <formula1>"1,2,3,4,5,6"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Y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4" min="3" style="0" width="9"/>
    <col collapsed="false" customWidth="true" hidden="false" outlineLevel="0" max="6" min="5" style="0" width="11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1" min="10" style="0" width="12"/>
    <col collapsed="false" customWidth="true" hidden="false" outlineLevel="0" max="13" min="12" style="0" width="11"/>
    <col collapsed="false" customWidth="true" hidden="false" outlineLevel="0" max="15" min="14" style="0" width="13"/>
    <col collapsed="false" customWidth="true" hidden="false" outlineLevel="0" max="17" min="16" style="0" width="9"/>
    <col collapsed="false" customWidth="true" hidden="false" outlineLevel="0" max="19" min="18" style="0" width="14"/>
    <col collapsed="false" customWidth="true" hidden="false" outlineLevel="0" max="21" min="20" style="0" width="11"/>
    <col collapsed="false" customWidth="true" hidden="false" outlineLevel="0" max="23" min="22" style="0" width="12"/>
    <col collapsed="false" customWidth="true" hidden="false" outlineLevel="0" max="25" min="24" style="0" width="10"/>
  </cols>
  <sheetData>
    <row r="1" customFormat="false" ht="19.7" hidden="false" customHeight="false" outlineLevel="0" collapsed="false">
      <c r="A1" s="1" t="s">
        <v>180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" hidden="false" customHeight="false" outlineLevel="0" collapsed="false">
      <c r="A3" s="20" t="s">
        <v>181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57.75" hidden="false" customHeight="true" outlineLevel="0" collapsed="false">
      <c r="A5" s="21" t="s">
        <v>182</v>
      </c>
      <c r="B5" s="21" t="s">
        <v>5</v>
      </c>
      <c r="C5" s="21" t="s">
        <v>183</v>
      </c>
      <c r="D5" s="21" t="s">
        <v>184</v>
      </c>
      <c r="E5" s="21" t="s">
        <v>185</v>
      </c>
      <c r="F5" s="21" t="s">
        <v>186</v>
      </c>
      <c r="G5" s="21" t="s">
        <v>187</v>
      </c>
      <c r="H5" s="21" t="s">
        <v>188</v>
      </c>
      <c r="I5" s="21" t="s">
        <v>189</v>
      </c>
      <c r="J5" s="21" t="s">
        <v>190</v>
      </c>
      <c r="K5" s="21" t="s">
        <v>191</v>
      </c>
      <c r="L5" s="21" t="s">
        <v>192</v>
      </c>
      <c r="M5" s="21" t="s">
        <v>193</v>
      </c>
      <c r="N5" s="21" t="s">
        <v>194</v>
      </c>
      <c r="O5" s="21" t="s">
        <v>195</v>
      </c>
      <c r="P5" s="21" t="s">
        <v>196</v>
      </c>
      <c r="Q5" s="21" t="s">
        <v>197</v>
      </c>
      <c r="R5" s="21" t="s">
        <v>198</v>
      </c>
      <c r="S5" s="21" t="s">
        <v>199</v>
      </c>
      <c r="T5" s="21" t="s">
        <v>200</v>
      </c>
      <c r="U5" s="21" t="s">
        <v>201</v>
      </c>
      <c r="V5" s="21" t="s">
        <v>202</v>
      </c>
      <c r="W5" s="21" t="s">
        <v>203</v>
      </c>
      <c r="X5" s="21" t="s">
        <v>204</v>
      </c>
      <c r="Y5" s="21" t="s">
        <v>205</v>
      </c>
    </row>
    <row r="6" customFormat="false" ht="15" hidden="false" customHeight="false" outlineLevel="0" collapsed="false">
      <c r="A6" s="41" t="n">
        <v>1</v>
      </c>
      <c r="B6" s="41" t="s">
        <v>206</v>
      </c>
      <c r="C6" s="42" t="s">
        <v>207</v>
      </c>
      <c r="D6" s="42" t="s">
        <v>208</v>
      </c>
      <c r="E6" s="34" t="n">
        <v>5000</v>
      </c>
      <c r="F6" s="34" t="n">
        <v>650</v>
      </c>
      <c r="G6" s="42" t="s">
        <v>209</v>
      </c>
      <c r="H6" s="33" t="n">
        <v>0</v>
      </c>
      <c r="I6" s="27" t="n">
        <v>0.5</v>
      </c>
      <c r="J6" s="43" t="n">
        <v>52</v>
      </c>
      <c r="K6" s="43" t="n">
        <v>38</v>
      </c>
      <c r="L6" s="44" t="n">
        <f aca="false">INDEX($C$15:$C$18,MATCH(C6,$A$15:$A$18,0))</f>
        <v>5</v>
      </c>
      <c r="M6" s="44" t="n">
        <f aca="false">INDEX($C$15:$C$18,MATCH(D6,$A$15:$A$18,0))</f>
        <v>3.5</v>
      </c>
      <c r="N6" s="45" t="n">
        <f aca="false">INDEX($D$15:$D$18,MATCH(C6,$A$15:$A$18,0))</f>
        <v>45813.4</v>
      </c>
      <c r="O6" s="45" t="n">
        <f aca="false">INDEX($D$15:$D$18,MATCH(D6,$A$15:$A$18,0))</f>
        <v>44845.748</v>
      </c>
      <c r="P6" s="46" t="n">
        <f aca="false">INDEX($H$15:$H$18,MATCH(C6,$A$15:$A$18,0))</f>
        <v>0</v>
      </c>
      <c r="Q6" s="46" t="n">
        <f aca="false">INDEX($H$15:$H$18,MATCH(D6,$A$15:$A$18,0))</f>
        <v>1</v>
      </c>
      <c r="R6" s="45" t="n">
        <f aca="false">IF(G6="Panama",Canal_Tolls!$C$20,IF(G6="Suez",Canal_Tolls!$C$45,0))</f>
        <v>0</v>
      </c>
      <c r="S6" s="45" t="n">
        <f aca="false">IF(G6="Panama",Canal_Tolls!$D$20,IF(G6="Suez",Canal_Tolls!$D$45,0))</f>
        <v>0</v>
      </c>
      <c r="T6" s="47" t="str">
        <f aca="false">INDEX($E$15:$E$18,MATCH(C6,$A$15:$A$18,0))</f>
        <v>0</v>
      </c>
      <c r="U6" s="47" t="n">
        <f aca="false">INDEX($E$15:$E$18,MATCH(D6,$A$15:$A$18,0))</f>
        <v>0.655776</v>
      </c>
      <c r="V6" s="45" t="str">
        <f aca="false">INDEX($F$15:$F$18,MATCH(C6,$A$15:$A$18,0))</f>
        <v>0</v>
      </c>
      <c r="W6" s="45" t="n">
        <f aca="false">INDEX($F$15:$F$18,MATCH(D6,$A$15:$A$18,0))</f>
        <v>20542.511088</v>
      </c>
      <c r="X6" s="48" t="n">
        <f aca="false">INDEX($G$15:$G$18,MATCH(C6,$A$15:$A$18,0))</f>
        <v>0.6</v>
      </c>
      <c r="Y6" s="48" t="str">
        <f aca="false">INDEX($G$15:$G$18,MATCH(D6,$A$15:$A$18,0))</f>
        <v>0</v>
      </c>
    </row>
    <row r="7" customFormat="false" ht="15" hidden="false" customHeight="false" outlineLevel="0" collapsed="false">
      <c r="A7" s="41" t="n">
        <v>2</v>
      </c>
      <c r="B7" s="41" t="s">
        <v>210</v>
      </c>
      <c r="C7" s="42" t="s">
        <v>207</v>
      </c>
      <c r="D7" s="42" t="s">
        <v>211</v>
      </c>
      <c r="E7" s="34" t="n">
        <v>9650</v>
      </c>
      <c r="F7" s="34" t="n">
        <v>200</v>
      </c>
      <c r="G7" s="42" t="s">
        <v>212</v>
      </c>
      <c r="H7" s="33" t="n">
        <v>1.5</v>
      </c>
      <c r="I7" s="27" t="n">
        <v>0</v>
      </c>
      <c r="J7" s="43" t="n">
        <v>92</v>
      </c>
      <c r="K7" s="43" t="n">
        <v>52</v>
      </c>
      <c r="L7" s="44" t="n">
        <f aca="false">INDEX($C$15:$C$18,MATCH(C7,$A$15:$A$18,0))</f>
        <v>5</v>
      </c>
      <c r="M7" s="44" t="n">
        <f aca="false">INDEX($C$15:$C$18,MATCH(D7,$A$15:$A$18,0))</f>
        <v>3.5</v>
      </c>
      <c r="N7" s="45" t="n">
        <f aca="false">INDEX($D$15:$D$18,MATCH(C7,$A$15:$A$18,0))</f>
        <v>45813.4</v>
      </c>
      <c r="O7" s="45" t="str">
        <f aca="false">INDEX($D$15:$D$18,MATCH(D7,$A$15:$A$18,0))</f>
        <v>65000</v>
      </c>
      <c r="P7" s="46" t="n">
        <f aca="false">INDEX($H$15:$H$18,MATCH(C7,$A$15:$A$18,0))</f>
        <v>0</v>
      </c>
      <c r="Q7" s="46" t="n">
        <f aca="false">INDEX($H$15:$H$18,MATCH(D7,$A$15:$A$18,0))</f>
        <v>0</v>
      </c>
      <c r="R7" s="45" t="n">
        <f aca="false">IF(G7="Panama",Canal_Tolls!$C$20,IF(G7="Suez",Canal_Tolls!$C$45,0))</f>
        <v>213460</v>
      </c>
      <c r="S7" s="45" t="n">
        <f aca="false">IF(G7="Panama",Canal_Tolls!$D$20,IF(G7="Suez",Canal_Tolls!$D$45,0))</f>
        <v>186460</v>
      </c>
      <c r="T7" s="47" t="str">
        <f aca="false">INDEX($E$15:$E$18,MATCH(C7,$A$15:$A$18,0))</f>
        <v>0</v>
      </c>
      <c r="U7" s="47" t="str">
        <f aca="false">INDEX($E$15:$E$18,MATCH(D7,$A$15:$A$18,0))</f>
        <v>0</v>
      </c>
      <c r="V7" s="45" t="str">
        <f aca="false">INDEX($F$15:$F$18,MATCH(C7,$A$15:$A$18,0))</f>
        <v>0</v>
      </c>
      <c r="W7" s="45" t="str">
        <f aca="false">INDEX($F$15:$F$18,MATCH(D7,$A$15:$A$18,0))</f>
        <v>0</v>
      </c>
      <c r="X7" s="48" t="n">
        <f aca="false">INDEX($G$15:$G$18,MATCH(C7,$A$15:$A$18,0))</f>
        <v>0.6</v>
      </c>
      <c r="Y7" s="48" t="str">
        <f aca="false">INDEX($G$15:$G$18,MATCH(D7,$A$15:$A$18,0))</f>
        <v>0</v>
      </c>
    </row>
    <row r="8" customFormat="false" ht="15" hidden="false" customHeight="false" outlineLevel="0" collapsed="false">
      <c r="A8" s="41" t="n">
        <v>3</v>
      </c>
      <c r="B8" s="41" t="s">
        <v>213</v>
      </c>
      <c r="C8" s="42" t="s">
        <v>208</v>
      </c>
      <c r="D8" s="42" t="s">
        <v>214</v>
      </c>
      <c r="E8" s="34" t="n">
        <v>6350</v>
      </c>
      <c r="F8" s="34" t="n">
        <v>450</v>
      </c>
      <c r="G8" s="42" t="s">
        <v>215</v>
      </c>
      <c r="H8" s="33" t="n">
        <v>1</v>
      </c>
      <c r="I8" s="27" t="n">
        <v>0.5</v>
      </c>
      <c r="J8" s="43" t="n">
        <v>75</v>
      </c>
      <c r="K8" s="43" t="n">
        <v>55</v>
      </c>
      <c r="L8" s="44" t="n">
        <f aca="false">INDEX($C$15:$C$18,MATCH(C8,$A$15:$A$18,0))</f>
        <v>3.5</v>
      </c>
      <c r="M8" s="44" t="n">
        <f aca="false">INDEX($C$15:$C$18,MATCH(D8,$A$15:$A$18,0))</f>
        <v>4</v>
      </c>
      <c r="N8" s="45" t="n">
        <f aca="false">INDEX($D$15:$D$18,MATCH(C8,$A$15:$A$18,0))</f>
        <v>44845.748</v>
      </c>
      <c r="O8" s="45" t="str">
        <f aca="false">INDEX($D$15:$D$18,MATCH(D8,$A$15:$A$18,0))</f>
        <v>55000</v>
      </c>
      <c r="P8" s="46" t="n">
        <f aca="false">INDEX($H$15:$H$18,MATCH(C8,$A$15:$A$18,0))</f>
        <v>1</v>
      </c>
      <c r="Q8" s="46" t="n">
        <f aca="false">INDEX($H$15:$H$18,MATCH(D8,$A$15:$A$18,0))</f>
        <v>0</v>
      </c>
      <c r="R8" s="45" t="n">
        <f aca="false">IF(G8="Panama",Canal_Tolls!$C$20,IF(G8="Suez",Canal_Tolls!$C$45,0))</f>
        <v>376008</v>
      </c>
      <c r="S8" s="45" t="n">
        <f aca="false">IF(G8="Panama",Canal_Tolls!$D$20,IF(G8="Suez",Canal_Tolls!$D$45,0))</f>
        <v>330256.5</v>
      </c>
      <c r="T8" s="47" t="n">
        <f aca="false">INDEX($E$15:$E$18,MATCH(C8,$A$15:$A$18,0))</f>
        <v>0.655776</v>
      </c>
      <c r="U8" s="47" t="str">
        <f aca="false">INDEX($E$15:$E$18,MATCH(D8,$A$15:$A$18,0))</f>
        <v>0</v>
      </c>
      <c r="V8" s="45" t="n">
        <f aca="false">INDEX($F$15:$F$18,MATCH(C8,$A$15:$A$18,0))</f>
        <v>20542.511088</v>
      </c>
      <c r="W8" s="45" t="str">
        <f aca="false">INDEX($F$15:$F$18,MATCH(D8,$A$15:$A$18,0))</f>
        <v>0</v>
      </c>
      <c r="X8" s="48" t="str">
        <f aca="false">INDEX($G$15:$G$18,MATCH(C8,$A$15:$A$18,0))</f>
        <v>0</v>
      </c>
      <c r="Y8" s="48" t="str">
        <f aca="false">INDEX($G$15:$G$18,MATCH(D8,$A$15:$A$18,0))</f>
        <v>0</v>
      </c>
    </row>
    <row r="9" customFormat="false" ht="15" hidden="false" customHeight="false" outlineLevel="0" collapsed="false">
      <c r="A9" s="41" t="n">
        <v>4</v>
      </c>
      <c r="B9" s="41" t="s">
        <v>216</v>
      </c>
      <c r="C9" s="42" t="s">
        <v>208</v>
      </c>
      <c r="D9" s="42" t="s">
        <v>214</v>
      </c>
      <c r="E9" s="34" t="n">
        <v>10850</v>
      </c>
      <c r="F9" s="34" t="n">
        <v>450</v>
      </c>
      <c r="G9" s="42" t="s">
        <v>209</v>
      </c>
      <c r="H9" s="33" t="n">
        <v>0</v>
      </c>
      <c r="I9" s="27" t="n">
        <v>0.5</v>
      </c>
      <c r="J9" s="43" t="n">
        <v>75</v>
      </c>
      <c r="K9" s="43" t="n">
        <v>55</v>
      </c>
      <c r="L9" s="44" t="n">
        <f aca="false">INDEX($C$15:$C$18,MATCH(C9,$A$15:$A$18,0))</f>
        <v>3.5</v>
      </c>
      <c r="M9" s="44" t="n">
        <f aca="false">INDEX($C$15:$C$18,MATCH(D9,$A$15:$A$18,0))</f>
        <v>4</v>
      </c>
      <c r="N9" s="45" t="n">
        <f aca="false">INDEX($D$15:$D$18,MATCH(C9,$A$15:$A$18,0))</f>
        <v>44845.748</v>
      </c>
      <c r="O9" s="45" t="str">
        <f aca="false">INDEX($D$15:$D$18,MATCH(D9,$A$15:$A$18,0))</f>
        <v>55000</v>
      </c>
      <c r="P9" s="46" t="n">
        <f aca="false">INDEX($H$15:$H$18,MATCH(C9,$A$15:$A$18,0))</f>
        <v>1</v>
      </c>
      <c r="Q9" s="46" t="n">
        <f aca="false">INDEX($H$15:$H$18,MATCH(D9,$A$15:$A$18,0))</f>
        <v>0</v>
      </c>
      <c r="R9" s="45" t="n">
        <f aca="false">IF(G9="Panama",Canal_Tolls!$C$20,IF(G9="Suez",Canal_Tolls!$C$45,0))</f>
        <v>0</v>
      </c>
      <c r="S9" s="45" t="n">
        <f aca="false">IF(G9="Panama",Canal_Tolls!$D$20,IF(G9="Suez",Canal_Tolls!$D$45,0))</f>
        <v>0</v>
      </c>
      <c r="T9" s="47" t="n">
        <f aca="false">INDEX($E$15:$E$18,MATCH(C9,$A$15:$A$18,0))</f>
        <v>0.655776</v>
      </c>
      <c r="U9" s="47" t="str">
        <f aca="false">INDEX($E$15:$E$18,MATCH(D9,$A$15:$A$18,0))</f>
        <v>0</v>
      </c>
      <c r="V9" s="45" t="n">
        <f aca="false">INDEX($F$15:$F$18,MATCH(C9,$A$15:$A$18,0))</f>
        <v>20542.511088</v>
      </c>
      <c r="W9" s="45" t="str">
        <f aca="false">INDEX($F$15:$F$18,MATCH(D9,$A$15:$A$18,0))</f>
        <v>0</v>
      </c>
      <c r="X9" s="48" t="str">
        <f aca="false">INDEX($G$15:$G$18,MATCH(C9,$A$15:$A$18,0))</f>
        <v>0</v>
      </c>
      <c r="Y9" s="48" t="str">
        <f aca="false">INDEX($G$15:$G$18,MATCH(D9,$A$15:$A$18,0))</f>
        <v>0</v>
      </c>
    </row>
    <row r="10" customFormat="false" ht="15" hidden="false" customHeight="false" outlineLevel="0" collapsed="false">
      <c r="A10" s="2"/>
      <c r="B10" s="49" t="s">
        <v>217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customFormat="false" ht="15" hidden="false" customHeight="false" outlineLevel="0" collapsed="false">
      <c r="A13" s="7" t="s">
        <v>218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customFormat="false" ht="77.6" hidden="false" customHeight="false" outlineLevel="0" collapsed="false">
      <c r="A14" s="21" t="s">
        <v>219</v>
      </c>
      <c r="B14" s="21" t="s">
        <v>220</v>
      </c>
      <c r="C14" s="21" t="s">
        <v>221</v>
      </c>
      <c r="D14" s="21" t="s">
        <v>222</v>
      </c>
      <c r="E14" s="21" t="s">
        <v>223</v>
      </c>
      <c r="F14" s="21" t="s">
        <v>224</v>
      </c>
      <c r="G14" s="21" t="s">
        <v>225</v>
      </c>
      <c r="H14" s="21" t="s">
        <v>226</v>
      </c>
      <c r="I14" s="21" t="s">
        <v>227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customFormat="false" ht="45.75" hidden="false" customHeight="true" outlineLevel="0" collapsed="false">
      <c r="A15" s="41" t="s">
        <v>207</v>
      </c>
      <c r="B15" s="41" t="s">
        <v>228</v>
      </c>
      <c r="C15" s="33" t="n">
        <v>5</v>
      </c>
      <c r="D15" s="50" t="n">
        <f aca="false">Port_Tariffs!$C$14</f>
        <v>45813.4</v>
      </c>
      <c r="E15" s="51" t="s">
        <v>229</v>
      </c>
      <c r="F15" s="52" t="s">
        <v>229</v>
      </c>
      <c r="G15" s="53" t="n">
        <f aca="false">Port_Tariffs!$C$11</f>
        <v>0.6</v>
      </c>
      <c r="H15" s="42" t="n">
        <v>0</v>
      </c>
      <c r="I15" s="54" t="s">
        <v>230</v>
      </c>
      <c r="J15" s="54"/>
      <c r="K15" s="54"/>
      <c r="L15" s="54"/>
      <c r="M15" s="54"/>
      <c r="N15" s="54"/>
      <c r="O15" s="54"/>
      <c r="P15" s="54"/>
      <c r="Q15" s="2"/>
      <c r="R15" s="2"/>
      <c r="S15" s="2"/>
      <c r="T15" s="2"/>
      <c r="U15" s="2"/>
      <c r="V15" s="2"/>
      <c r="W15" s="2"/>
      <c r="X15" s="2"/>
      <c r="Y15" s="2"/>
    </row>
    <row r="16" customFormat="false" ht="45.75" hidden="false" customHeight="true" outlineLevel="0" collapsed="false">
      <c r="A16" s="41" t="s">
        <v>208</v>
      </c>
      <c r="B16" s="41" t="s">
        <v>231</v>
      </c>
      <c r="C16" s="33" t="n">
        <v>3.5</v>
      </c>
      <c r="D16" s="50" t="n">
        <f aca="false">Port_Tariffs!$C$29</f>
        <v>44845.748</v>
      </c>
      <c r="E16" s="55" t="n">
        <f aca="false">Port_Tariffs!$C$30</f>
        <v>0.655776</v>
      </c>
      <c r="F16" s="50" t="n">
        <f aca="false">Port_Tariffs!$C$31</f>
        <v>20542.511088</v>
      </c>
      <c r="G16" s="30" t="s">
        <v>229</v>
      </c>
      <c r="H16" s="42" t="n">
        <v>1</v>
      </c>
      <c r="I16" s="54" t="s">
        <v>232</v>
      </c>
      <c r="J16" s="54"/>
      <c r="K16" s="54"/>
      <c r="L16" s="54"/>
      <c r="M16" s="54"/>
      <c r="N16" s="54"/>
      <c r="O16" s="54"/>
      <c r="P16" s="54"/>
      <c r="Q16" s="2"/>
      <c r="R16" s="2"/>
      <c r="S16" s="2"/>
      <c r="T16" s="2"/>
      <c r="U16" s="2"/>
      <c r="V16" s="2"/>
      <c r="W16" s="2"/>
      <c r="X16" s="2"/>
      <c r="Y16" s="2"/>
    </row>
    <row r="17" customFormat="false" ht="45.75" hidden="false" customHeight="true" outlineLevel="0" collapsed="false">
      <c r="A17" s="41" t="s">
        <v>211</v>
      </c>
      <c r="B17" s="41" t="s">
        <v>233</v>
      </c>
      <c r="C17" s="33" t="n">
        <v>3.5</v>
      </c>
      <c r="D17" s="52" t="s">
        <v>234</v>
      </c>
      <c r="E17" s="51" t="s">
        <v>229</v>
      </c>
      <c r="F17" s="52" t="s">
        <v>229</v>
      </c>
      <c r="G17" s="30" t="s">
        <v>229</v>
      </c>
      <c r="H17" s="42" t="n">
        <v>0</v>
      </c>
      <c r="I17" s="54" t="s">
        <v>235</v>
      </c>
      <c r="J17" s="54"/>
      <c r="K17" s="54"/>
      <c r="L17" s="54"/>
      <c r="M17" s="54"/>
      <c r="N17" s="54"/>
      <c r="O17" s="54"/>
      <c r="P17" s="54"/>
      <c r="Q17" s="2"/>
      <c r="R17" s="2"/>
      <c r="S17" s="2"/>
      <c r="T17" s="2"/>
      <c r="U17" s="2"/>
      <c r="V17" s="2"/>
      <c r="W17" s="2"/>
      <c r="X17" s="2"/>
      <c r="Y17" s="2"/>
    </row>
    <row r="18" customFormat="false" ht="45.75" hidden="false" customHeight="true" outlineLevel="0" collapsed="false">
      <c r="A18" s="41" t="s">
        <v>214</v>
      </c>
      <c r="B18" s="41" t="s">
        <v>236</v>
      </c>
      <c r="C18" s="33" t="n">
        <v>4</v>
      </c>
      <c r="D18" s="52" t="s">
        <v>237</v>
      </c>
      <c r="E18" s="51" t="s">
        <v>229</v>
      </c>
      <c r="F18" s="52" t="s">
        <v>229</v>
      </c>
      <c r="G18" s="30" t="s">
        <v>229</v>
      </c>
      <c r="H18" s="42" t="n">
        <v>0</v>
      </c>
      <c r="I18" s="54" t="s">
        <v>238</v>
      </c>
      <c r="J18" s="54"/>
      <c r="K18" s="54"/>
      <c r="L18" s="54"/>
      <c r="M18" s="54"/>
      <c r="N18" s="54"/>
      <c r="O18" s="54"/>
      <c r="P18" s="54"/>
      <c r="Q18" s="2"/>
      <c r="R18" s="2"/>
      <c r="S18" s="2"/>
      <c r="T18" s="2"/>
      <c r="U18" s="2"/>
      <c r="V18" s="2"/>
      <c r="W18" s="2"/>
      <c r="X18" s="2"/>
      <c r="Y18" s="2"/>
    </row>
  </sheetData>
  <mergeCells count="4">
    <mergeCell ref="I15:P15"/>
    <mergeCell ref="I16:P16"/>
    <mergeCell ref="I17:P17"/>
    <mergeCell ref="I18:P18"/>
  </mergeCells>
  <dataValidations count="1">
    <dataValidation allowBlank="false" errorStyle="stop" operator="between" showDropDown="false" showErrorMessage="false" showInputMessage="false" sqref="G6:G9" type="list">
      <formula1>"None,Panama,Suez"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5"/>
    <col collapsed="false" customWidth="true" hidden="false" outlineLevel="0" max="5" min="5" style="0" width="72"/>
  </cols>
  <sheetData>
    <row r="1" customFormat="false" ht="19.7" hidden="false" customHeight="false" outlineLevel="0" collapsed="false">
      <c r="A1" s="1" t="s">
        <v>239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0" t="s">
        <v>240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5" customFormat="false" ht="15" hidden="false" customHeight="false" outlineLevel="0" collapsed="false">
      <c r="A5" s="7" t="s">
        <v>241</v>
      </c>
      <c r="B5" s="2"/>
      <c r="C5" s="2"/>
      <c r="D5" s="2"/>
      <c r="E5" s="2"/>
    </row>
    <row r="6" customFormat="false" ht="15" hidden="false" customHeight="false" outlineLevel="0" collapsed="false">
      <c r="A6" s="56" t="s">
        <v>242</v>
      </c>
      <c r="B6" s="2"/>
      <c r="C6" s="2"/>
      <c r="D6" s="2"/>
      <c r="E6" s="2"/>
    </row>
    <row r="7" customFormat="false" ht="15" hidden="false" customHeight="false" outlineLevel="0" collapsed="false">
      <c r="A7" s="21" t="s">
        <v>67</v>
      </c>
      <c r="B7" s="21"/>
      <c r="C7" s="21" t="s">
        <v>68</v>
      </c>
      <c r="D7" s="21"/>
      <c r="E7" s="21" t="s">
        <v>243</v>
      </c>
    </row>
    <row r="8" customFormat="false" ht="26.85" hidden="false" customHeight="false" outlineLevel="0" collapsed="false">
      <c r="A8" s="2" t="s">
        <v>244</v>
      </c>
      <c r="B8" s="2"/>
      <c r="C8" s="57" t="n">
        <v>813.4</v>
      </c>
      <c r="D8" s="2"/>
      <c r="E8" s="25" t="s">
        <v>245</v>
      </c>
    </row>
    <row r="9" customFormat="false" ht="26.85" hidden="false" customHeight="false" outlineLevel="0" collapsed="false">
      <c r="A9" s="2" t="s">
        <v>246</v>
      </c>
      <c r="B9" s="2"/>
      <c r="C9" s="57" t="n">
        <v>11.24</v>
      </c>
      <c r="D9" s="2"/>
      <c r="E9" s="25" t="s">
        <v>247</v>
      </c>
    </row>
    <row r="10" customFormat="false" ht="15" hidden="false" customHeight="false" outlineLevel="0" collapsed="false">
      <c r="A10" s="2" t="s">
        <v>248</v>
      </c>
      <c r="B10" s="2"/>
      <c r="C10" s="58" t="n">
        <f aca="false">LOA_ft</f>
        <v>600</v>
      </c>
      <c r="D10" s="2"/>
      <c r="E10" s="25" t="s">
        <v>249</v>
      </c>
    </row>
    <row r="11" customFormat="false" ht="26.85" hidden="false" customHeight="false" outlineLevel="0" collapsed="false">
      <c r="A11" s="2" t="s">
        <v>250</v>
      </c>
      <c r="B11" s="2"/>
      <c r="C11" s="59" t="n">
        <v>0.6</v>
      </c>
      <c r="D11" s="2"/>
      <c r="E11" s="25" t="s">
        <v>251</v>
      </c>
    </row>
    <row r="12" customFormat="false" ht="15" hidden="false" customHeight="false" outlineLevel="0" collapsed="false">
      <c r="A12" s="2" t="s">
        <v>252</v>
      </c>
      <c r="B12" s="2"/>
      <c r="C12" s="60" t="n">
        <f aca="false">Routes!$C$15*C11*PortMult</f>
        <v>3</v>
      </c>
      <c r="D12" s="2"/>
      <c r="E12" s="25" t="s">
        <v>253</v>
      </c>
    </row>
    <row r="13" customFormat="false" ht="26.85" hidden="false" customHeight="false" outlineLevel="0" collapsed="false">
      <c r="A13" s="2" t="s">
        <v>254</v>
      </c>
      <c r="B13" s="2"/>
      <c r="C13" s="60" t="n">
        <f aca="false">IF(C12&lt;=2,C12,IF(C12&lt;=3,2+0.9*(C12-2),IF(C12&lt;=4,2.9+0.75*(C12-3),IF(C12&lt;=5,3.65+0.6*(C12-4),4.25+0.5*(C12-5)))))</f>
        <v>2.9</v>
      </c>
      <c r="D13" s="2"/>
      <c r="E13" s="25" t="s">
        <v>255</v>
      </c>
    </row>
    <row r="14" customFormat="false" ht="26.85" hidden="false" customHeight="false" outlineLevel="0" collapsed="false">
      <c r="A14" s="18" t="s">
        <v>256</v>
      </c>
      <c r="B14" s="2"/>
      <c r="C14" s="61" t="n">
        <f aca="false">C8+C15</f>
        <v>45813.4</v>
      </c>
      <c r="D14" s="2"/>
      <c r="E14" s="25" t="s">
        <v>257</v>
      </c>
    </row>
    <row r="15" customFormat="false" ht="15" hidden="false" customHeight="false" outlineLevel="0" collapsed="false">
      <c r="A15" s="2" t="s">
        <v>258</v>
      </c>
      <c r="B15" s="2"/>
      <c r="C15" s="62" t="n">
        <v>45000</v>
      </c>
      <c r="D15" s="2"/>
      <c r="E15" s="25" t="s">
        <v>259</v>
      </c>
    </row>
    <row r="16" customFormat="false" ht="15" hidden="false" customHeight="false" outlineLevel="0" collapsed="false">
      <c r="A16" s="2" t="s">
        <v>260</v>
      </c>
      <c r="B16" s="2"/>
      <c r="C16" s="63" t="n">
        <f aca="false">LOA_ft*C9*C13</f>
        <v>19557.6</v>
      </c>
      <c r="D16" s="2"/>
      <c r="E16" s="25" t="s">
        <v>261</v>
      </c>
    </row>
    <row r="17" customFormat="false" ht="15" hidden="false" customHeight="false" outlineLevel="0" collapsed="false">
      <c r="A17" s="2"/>
      <c r="B17" s="2"/>
      <c r="C17" s="2"/>
      <c r="D17" s="2"/>
      <c r="E17" s="2"/>
    </row>
    <row r="18" customFormat="false" ht="15" hidden="false" customHeight="false" outlineLevel="0" collapsed="false">
      <c r="A18" s="2"/>
      <c r="B18" s="2"/>
      <c r="C18" s="2"/>
      <c r="D18" s="2"/>
      <c r="E18" s="2"/>
    </row>
    <row r="19" customFormat="false" ht="15" hidden="false" customHeight="false" outlineLevel="0" collapsed="false">
      <c r="A19" s="2"/>
      <c r="B19" s="2"/>
      <c r="C19" s="2"/>
      <c r="D19" s="2"/>
      <c r="E19" s="2"/>
    </row>
    <row r="20" customFormat="false" ht="15" hidden="false" customHeight="false" outlineLevel="0" collapsed="false">
      <c r="A20" s="7" t="s">
        <v>262</v>
      </c>
      <c r="B20" s="2"/>
      <c r="C20" s="2"/>
      <c r="D20" s="2"/>
      <c r="E20" s="2"/>
    </row>
    <row r="21" customFormat="false" ht="15" hidden="false" customHeight="false" outlineLevel="0" collapsed="false">
      <c r="A21" s="56" t="s">
        <v>263</v>
      </c>
      <c r="B21" s="2"/>
      <c r="C21" s="2"/>
      <c r="D21" s="2"/>
      <c r="E21" s="2"/>
    </row>
    <row r="22" customFormat="false" ht="15" hidden="false" customHeight="false" outlineLevel="0" collapsed="false">
      <c r="A22" s="21" t="s">
        <v>67</v>
      </c>
      <c r="B22" s="21"/>
      <c r="C22" s="21" t="s">
        <v>68</v>
      </c>
      <c r="D22" s="21"/>
      <c r="E22" s="21" t="s">
        <v>243</v>
      </c>
    </row>
    <row r="23" customFormat="false" ht="15" hidden="false" customHeight="false" outlineLevel="0" collapsed="false">
      <c r="A23" s="2" t="s">
        <v>264</v>
      </c>
      <c r="B23" s="2"/>
      <c r="C23" s="64" t="n">
        <v>0.303</v>
      </c>
      <c r="D23" s="2"/>
      <c r="E23" s="25" t="s">
        <v>265</v>
      </c>
    </row>
    <row r="24" customFormat="false" ht="26.85" hidden="false" customHeight="false" outlineLevel="0" collapsed="false">
      <c r="A24" s="2" t="s">
        <v>266</v>
      </c>
      <c r="B24" s="2"/>
      <c r="C24" s="64" t="n">
        <v>0.065</v>
      </c>
      <c r="D24" s="2"/>
      <c r="E24" s="25" t="s">
        <v>267</v>
      </c>
    </row>
    <row r="25" customFormat="false" ht="15" hidden="false" customHeight="false" outlineLevel="0" collapsed="false">
      <c r="A25" s="2" t="s">
        <v>268</v>
      </c>
      <c r="B25" s="2"/>
      <c r="C25" s="64" t="n">
        <v>0.576</v>
      </c>
      <c r="D25" s="2"/>
      <c r="E25" s="25" t="s">
        <v>269</v>
      </c>
    </row>
    <row r="26" customFormat="false" ht="26.85" hidden="false" customHeight="false" outlineLevel="0" collapsed="false">
      <c r="A26" s="2" t="s">
        <v>270</v>
      </c>
      <c r="B26" s="2"/>
      <c r="C26" s="59" t="n">
        <v>1.333</v>
      </c>
      <c r="D26" s="2"/>
      <c r="E26" s="25" t="s">
        <v>271</v>
      </c>
    </row>
    <row r="27" customFormat="false" ht="26.85" hidden="false" customHeight="false" outlineLevel="0" collapsed="false">
      <c r="A27" s="2" t="s">
        <v>272</v>
      </c>
      <c r="B27" s="2"/>
      <c r="C27" s="64" t="n">
        <v>1.035</v>
      </c>
      <c r="D27" s="2"/>
      <c r="E27" s="25" t="s">
        <v>273</v>
      </c>
    </row>
    <row r="28" customFormat="false" ht="15" hidden="false" customHeight="false" outlineLevel="0" collapsed="false">
      <c r="A28" s="2" t="s">
        <v>274</v>
      </c>
      <c r="B28" s="2"/>
      <c r="C28" s="62" t="n">
        <v>35000</v>
      </c>
      <c r="D28" s="2"/>
      <c r="E28" s="25" t="s">
        <v>259</v>
      </c>
    </row>
    <row r="29" customFormat="false" ht="26.85" hidden="false" customHeight="false" outlineLevel="0" collapsed="false">
      <c r="A29" s="18" t="s">
        <v>275</v>
      </c>
      <c r="B29" s="2"/>
      <c r="C29" s="61" t="n">
        <f aca="false">GT*(C23+C24)*C27*FX+C28</f>
        <v>44845.748</v>
      </c>
      <c r="D29" s="2"/>
      <c r="E29" s="25" t="s">
        <v>276</v>
      </c>
    </row>
    <row r="30" customFormat="false" ht="15" hidden="false" customHeight="false" outlineLevel="0" collapsed="false">
      <c r="A30" s="18" t="s">
        <v>277</v>
      </c>
      <c r="B30" s="2"/>
      <c r="C30" s="65" t="n">
        <f aca="false">C25*C27*FX</f>
        <v>0.655776</v>
      </c>
      <c r="D30" s="2"/>
      <c r="E30" s="25" t="s">
        <v>278</v>
      </c>
    </row>
    <row r="31" customFormat="false" ht="15" hidden="false" customHeight="false" outlineLevel="0" collapsed="false">
      <c r="A31" s="18" t="s">
        <v>279</v>
      </c>
      <c r="B31" s="2"/>
      <c r="C31" s="61" t="n">
        <f aca="false">GT*C26*C25*C27*FX</f>
        <v>20542.511088</v>
      </c>
      <c r="D31" s="2"/>
      <c r="E31" s="25"/>
    </row>
    <row r="32" customFormat="false" ht="15" hidden="false" customHeight="false" outlineLevel="0" collapsed="false">
      <c r="A32" s="2" t="s">
        <v>280</v>
      </c>
      <c r="B32" s="2"/>
      <c r="C32" s="63" t="n">
        <f aca="false">C29-C28+MIN(30600*C30,C31)</f>
        <v>29912.4936</v>
      </c>
      <c r="D32" s="2"/>
      <c r="E32" s="25" t="s">
        <v>281</v>
      </c>
    </row>
    <row r="33" customFormat="false" ht="15" hidden="false" customHeight="false" outlineLevel="0" collapsed="false">
      <c r="A33" s="2"/>
      <c r="B33" s="2"/>
      <c r="C33" s="2"/>
      <c r="D33" s="2"/>
      <c r="E33" s="2"/>
    </row>
    <row r="34" customFormat="false" ht="15" hidden="false" customHeight="false" outlineLevel="0" collapsed="false">
      <c r="A34" s="2"/>
      <c r="B34" s="2"/>
      <c r="C34" s="2"/>
      <c r="D34" s="2"/>
      <c r="E34" s="2"/>
    </row>
    <row r="35" customFormat="false" ht="15" hidden="false" customHeight="false" outlineLevel="0" collapsed="false">
      <c r="A35" s="2"/>
      <c r="B35" s="2"/>
      <c r="C35" s="2"/>
      <c r="D35" s="2"/>
      <c r="E35" s="2"/>
    </row>
    <row r="36" customFormat="false" ht="15" hidden="false" customHeight="false" outlineLevel="0" collapsed="false">
      <c r="A36" s="66" t="s">
        <v>282</v>
      </c>
      <c r="B36" s="2"/>
      <c r="C36" s="2"/>
      <c r="D36" s="2"/>
      <c r="E3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6"/>
    <col collapsed="false" customWidth="true" hidden="false" outlineLevel="0" max="6" min="6" style="0" width="60"/>
  </cols>
  <sheetData>
    <row r="1" customFormat="false" ht="19.7" hidden="false" customHeight="false" outlineLevel="0" collapsed="false">
      <c r="A1" s="1" t="s">
        <v>283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0" t="s">
        <v>284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15" hidden="false" customHeight="false" outlineLevel="0" collapsed="false">
      <c r="A5" s="7" t="s">
        <v>285</v>
      </c>
      <c r="B5" s="2"/>
      <c r="C5" s="2"/>
      <c r="D5" s="2"/>
      <c r="E5" s="2"/>
      <c r="F5" s="2"/>
    </row>
    <row r="6" customFormat="false" ht="15" hidden="false" customHeight="false" outlineLevel="0" collapsed="false">
      <c r="A6" s="21" t="s">
        <v>67</v>
      </c>
      <c r="B6" s="21" t="s">
        <v>286</v>
      </c>
      <c r="C6" s="21" t="s">
        <v>287</v>
      </c>
      <c r="D6" s="21" t="s">
        <v>288</v>
      </c>
      <c r="E6" s="21"/>
      <c r="F6" s="21" t="s">
        <v>243</v>
      </c>
    </row>
    <row r="7" customFormat="false" ht="15" hidden="false" customHeight="false" outlineLevel="0" collapsed="false">
      <c r="A7" s="2" t="s">
        <v>289</v>
      </c>
      <c r="B7" s="57" t="n">
        <v>100000</v>
      </c>
      <c r="C7" s="67" t="n">
        <f aca="false">B7</f>
        <v>100000</v>
      </c>
      <c r="D7" s="67" t="n">
        <f aca="false">B7*$B$18</f>
        <v>85000</v>
      </c>
      <c r="E7" s="2"/>
      <c r="F7" s="2" t="s">
        <v>290</v>
      </c>
    </row>
    <row r="8" customFormat="false" ht="15" hidden="false" customHeight="false" outlineLevel="0" collapsed="false">
      <c r="A8" s="2" t="s">
        <v>291</v>
      </c>
      <c r="B8" s="57" t="n">
        <v>4</v>
      </c>
      <c r="C8" s="67" t="n">
        <f aca="false">B8*PCUMS</f>
        <v>80000</v>
      </c>
      <c r="D8" s="67" t="n">
        <f aca="false">B8*PCUMS*$B$18</f>
        <v>68000</v>
      </c>
      <c r="E8" s="2"/>
      <c r="F8" s="2" t="s">
        <v>292</v>
      </c>
    </row>
    <row r="9" customFormat="false" ht="15" hidden="false" customHeight="false" outlineLevel="0" collapsed="false">
      <c r="A9" s="2" t="s">
        <v>293</v>
      </c>
      <c r="B9" s="57" t="n">
        <v>7000</v>
      </c>
      <c r="C9" s="67" t="n">
        <f aca="false">B9</f>
        <v>7000</v>
      </c>
      <c r="D9" s="67" t="n">
        <f aca="false">B9</f>
        <v>7000</v>
      </c>
      <c r="E9" s="2"/>
      <c r="F9" s="2" t="s">
        <v>294</v>
      </c>
    </row>
    <row r="10" customFormat="false" ht="15" hidden="false" customHeight="false" outlineLevel="0" collapsed="false">
      <c r="A10" s="2" t="s">
        <v>295</v>
      </c>
      <c r="B10" s="57" t="n">
        <v>270</v>
      </c>
      <c r="C10" s="67" t="n">
        <f aca="false">B10*Linehandlers</f>
        <v>2160</v>
      </c>
      <c r="D10" s="67" t="n">
        <f aca="false">B10*Linehandlers</f>
        <v>2160</v>
      </c>
      <c r="E10" s="2"/>
      <c r="F10" s="2" t="s">
        <v>296</v>
      </c>
    </row>
    <row r="11" customFormat="false" ht="15" hidden="false" customHeight="false" outlineLevel="0" collapsed="false">
      <c r="A11" s="2" t="s">
        <v>297</v>
      </c>
      <c r="B11" s="57" t="n">
        <v>10500</v>
      </c>
      <c r="C11" s="67" t="n">
        <f aca="false">B11</f>
        <v>10500</v>
      </c>
      <c r="D11" s="67" t="n">
        <f aca="false">B11</f>
        <v>10500</v>
      </c>
      <c r="E11" s="2"/>
      <c r="F11" s="2" t="s">
        <v>298</v>
      </c>
    </row>
    <row r="12" customFormat="false" ht="15" hidden="false" customHeight="false" outlineLevel="0" collapsed="false">
      <c r="A12" s="2" t="s">
        <v>299</v>
      </c>
      <c r="B12" s="57" t="n">
        <v>1250</v>
      </c>
      <c r="C12" s="67" t="n">
        <f aca="false">B12</f>
        <v>1250</v>
      </c>
      <c r="D12" s="67" t="n">
        <f aca="false">B12</f>
        <v>1250</v>
      </c>
      <c r="E12" s="2"/>
      <c r="F12" s="2" t="s">
        <v>300</v>
      </c>
    </row>
    <row r="13" customFormat="false" ht="15" hidden="false" customHeight="false" outlineLevel="0" collapsed="false">
      <c r="A13" s="2" t="s">
        <v>301</v>
      </c>
      <c r="B13" s="57" t="n">
        <v>10000</v>
      </c>
      <c r="C13" s="67" t="n">
        <f aca="false">B13</f>
        <v>10000</v>
      </c>
      <c r="D13" s="67" t="n">
        <f aca="false">B13</f>
        <v>10000</v>
      </c>
      <c r="E13" s="2"/>
      <c r="F13" s="2" t="s">
        <v>302</v>
      </c>
    </row>
    <row r="14" customFormat="false" ht="15" hidden="false" customHeight="false" outlineLevel="0" collapsed="false">
      <c r="A14" s="2" t="s">
        <v>303</v>
      </c>
      <c r="B14" s="57" t="n">
        <v>1275</v>
      </c>
      <c r="C14" s="67" t="n">
        <f aca="false">B14*2</f>
        <v>2550</v>
      </c>
      <c r="D14" s="67" t="n">
        <f aca="false">B14*2</f>
        <v>2550</v>
      </c>
      <c r="E14" s="2"/>
      <c r="F14" s="2" t="s">
        <v>300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</row>
    <row r="18" customFormat="false" ht="15" hidden="false" customHeight="false" outlineLevel="0" collapsed="false">
      <c r="A18" s="2" t="s">
        <v>304</v>
      </c>
      <c r="B18" s="59" t="n">
        <v>0.85</v>
      </c>
      <c r="C18" s="2"/>
      <c r="D18" s="2"/>
      <c r="E18" s="2"/>
      <c r="F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</row>
    <row r="20" customFormat="false" ht="15" hidden="false" customHeight="false" outlineLevel="0" collapsed="false">
      <c r="A20" s="18" t="s">
        <v>305</v>
      </c>
      <c r="B20" s="2"/>
      <c r="C20" s="68" t="n">
        <f aca="false">SUM(C7:C14)</f>
        <v>213460</v>
      </c>
      <c r="D20" s="68" t="n">
        <f aca="false">SUM(D7:D14)</f>
        <v>186460</v>
      </c>
      <c r="E20" s="2"/>
      <c r="F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</row>
    <row r="24" customFormat="false" ht="15" hidden="false" customHeight="false" outlineLevel="0" collapsed="false">
      <c r="A24" s="7" t="s">
        <v>306</v>
      </c>
      <c r="B24" s="2"/>
      <c r="C24" s="2"/>
      <c r="D24" s="2"/>
      <c r="E24" s="2"/>
      <c r="F24" s="2"/>
    </row>
    <row r="25" customFormat="false" ht="26.85" hidden="false" customHeight="false" outlineLevel="0" collapsed="false">
      <c r="A25" s="21" t="s">
        <v>307</v>
      </c>
      <c r="B25" s="21" t="s">
        <v>308</v>
      </c>
      <c r="C25" s="21" t="s">
        <v>309</v>
      </c>
      <c r="D25" s="21" t="s">
        <v>310</v>
      </c>
      <c r="E25" s="21" t="s">
        <v>311</v>
      </c>
      <c r="F25" s="21" t="s">
        <v>70</v>
      </c>
    </row>
    <row r="26" customFormat="false" ht="15" hidden="false" customHeight="false" outlineLevel="0" collapsed="false">
      <c r="A26" s="2" t="s">
        <v>312</v>
      </c>
      <c r="B26" s="69" t="n">
        <v>5000</v>
      </c>
      <c r="C26" s="70" t="n">
        <v>11.04</v>
      </c>
      <c r="D26" s="70" t="n">
        <v>9.4</v>
      </c>
      <c r="E26" s="71" t="n">
        <f aca="false">MAX(0,MIN(B26,SCNT-0))</f>
        <v>5000</v>
      </c>
      <c r="F26" s="2" t="s">
        <v>313</v>
      </c>
    </row>
    <row r="27" customFormat="false" ht="15" hidden="false" customHeight="false" outlineLevel="0" collapsed="false">
      <c r="A27" s="2" t="s">
        <v>314</v>
      </c>
      <c r="B27" s="69" t="n">
        <v>5000</v>
      </c>
      <c r="C27" s="70" t="n">
        <v>7.82</v>
      </c>
      <c r="D27" s="70" t="n">
        <v>6.64</v>
      </c>
      <c r="E27" s="71" t="n">
        <f aca="false">MAX(0,MIN(B27,SCNT-SUM($B$26:B26)))</f>
        <v>5000</v>
      </c>
      <c r="F27" s="2"/>
    </row>
    <row r="28" customFormat="false" ht="15" hidden="false" customHeight="false" outlineLevel="0" collapsed="false">
      <c r="A28" s="2" t="s">
        <v>315</v>
      </c>
      <c r="B28" s="69" t="n">
        <v>10000</v>
      </c>
      <c r="C28" s="70" t="n">
        <v>5.91</v>
      </c>
      <c r="D28" s="70" t="n">
        <v>5.04</v>
      </c>
      <c r="E28" s="71" t="n">
        <f aca="false">MAX(0,MIN(B28,SCNT-SUM($B$26:B27)))</f>
        <v>10000</v>
      </c>
      <c r="F28" s="2"/>
    </row>
    <row r="29" customFormat="false" ht="15" hidden="false" customHeight="false" outlineLevel="0" collapsed="false">
      <c r="A29" s="2" t="s">
        <v>316</v>
      </c>
      <c r="B29" s="69" t="n">
        <v>20000</v>
      </c>
      <c r="C29" s="70" t="n">
        <v>3.93</v>
      </c>
      <c r="D29" s="70" t="n">
        <v>2.5</v>
      </c>
      <c r="E29" s="71" t="n">
        <f aca="false">MAX(0,MIN(B29,SCNT-SUM($B$26:B28)))</f>
        <v>0</v>
      </c>
      <c r="F29" s="2"/>
    </row>
    <row r="30" customFormat="false" ht="15" hidden="false" customHeight="false" outlineLevel="0" collapsed="false">
      <c r="A30" s="2" t="s">
        <v>317</v>
      </c>
      <c r="B30" s="69" t="n">
        <v>30000</v>
      </c>
      <c r="C30" s="70" t="n">
        <v>3.84</v>
      </c>
      <c r="D30" s="70" t="n">
        <v>2.14</v>
      </c>
      <c r="E30" s="71" t="n">
        <f aca="false">MAX(0,MIN(B30,SCNT-SUM($B$26:B29)))</f>
        <v>0</v>
      </c>
      <c r="F30" s="2"/>
    </row>
    <row r="31" customFormat="false" ht="15" hidden="false" customHeight="false" outlineLevel="0" collapsed="false">
      <c r="A31" s="2" t="s">
        <v>318</v>
      </c>
      <c r="B31" s="69" t="n">
        <v>50000</v>
      </c>
      <c r="C31" s="70" t="n">
        <v>3.46</v>
      </c>
      <c r="D31" s="70" t="n">
        <v>1.85</v>
      </c>
      <c r="E31" s="71" t="n">
        <f aca="false">MAX(0,MIN(B31,SCNT-SUM($B$26:B30)))</f>
        <v>0</v>
      </c>
      <c r="F31" s="2"/>
    </row>
    <row r="32" customFormat="false" ht="15" hidden="false" customHeight="false" outlineLevel="0" collapsed="false">
      <c r="A32" s="2" t="s">
        <v>319</v>
      </c>
      <c r="B32" s="69" t="n">
        <v>1000000000</v>
      </c>
      <c r="C32" s="70" t="n">
        <v>3.34</v>
      </c>
      <c r="D32" s="70" t="n">
        <v>1.82</v>
      </c>
      <c r="E32" s="71" t="n">
        <f aca="false">MAX(0,MIN(B32,SCNT-SUM($B$26:B31)))</f>
        <v>0</v>
      </c>
      <c r="F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</row>
    <row r="34" customFormat="false" ht="15" hidden="false" customHeight="false" outlineLevel="0" collapsed="false">
      <c r="A34" s="2"/>
      <c r="B34" s="2"/>
      <c r="C34" s="18" t="s">
        <v>320</v>
      </c>
      <c r="D34" s="18" t="s">
        <v>321</v>
      </c>
      <c r="E34" s="2"/>
      <c r="F34" s="2"/>
    </row>
    <row r="35" customFormat="false" ht="15" hidden="false" customHeight="false" outlineLevel="0" collapsed="false">
      <c r="A35" s="2" t="s">
        <v>322</v>
      </c>
      <c r="B35" s="2"/>
      <c r="C35" s="71" t="n">
        <f aca="false">SUMPRODUCT(C26:C32,$E$26:$E$32)</f>
        <v>153400</v>
      </c>
      <c r="D35" s="71" t="n">
        <f aca="false">SUMPRODUCT(D26:D32,$E$26:$E$32)</f>
        <v>130600</v>
      </c>
      <c r="E35" s="2"/>
      <c r="F35" s="2"/>
    </row>
    <row r="36" customFormat="false" ht="39.55" hidden="false" customHeight="false" outlineLevel="0" collapsed="false">
      <c r="A36" s="2" t="s">
        <v>323</v>
      </c>
      <c r="B36" s="2"/>
      <c r="C36" s="72" t="n">
        <f aca="false">SuezSurL</f>
        <v>0.2</v>
      </c>
      <c r="D36" s="72" t="n">
        <f aca="false">SuezSurB</f>
        <v>0.15</v>
      </c>
      <c r="E36" s="2"/>
      <c r="F36" s="23" t="s">
        <v>324</v>
      </c>
    </row>
    <row r="37" customFormat="false" ht="15" hidden="false" customHeight="false" outlineLevel="0" collapsed="false">
      <c r="A37" s="2" t="s">
        <v>325</v>
      </c>
      <c r="B37" s="2"/>
      <c r="C37" s="71" t="n">
        <f aca="false">C35*(1+C36)</f>
        <v>184080</v>
      </c>
      <c r="D37" s="71" t="n">
        <f aca="false">D35*(1+D36)</f>
        <v>150190</v>
      </c>
      <c r="E37" s="2"/>
      <c r="F37" s="2"/>
    </row>
    <row r="38" customFormat="false" ht="15" hidden="false" customHeight="false" outlineLevel="0" collapsed="false">
      <c r="A38" s="2" t="s">
        <v>166</v>
      </c>
      <c r="B38" s="2"/>
      <c r="C38" s="73" t="n">
        <f aca="false">SDR_USD</f>
        <v>1.35</v>
      </c>
      <c r="D38" s="73" t="n">
        <f aca="false">SDR_USD</f>
        <v>1.35</v>
      </c>
      <c r="E38" s="2"/>
      <c r="F38" s="2"/>
    </row>
    <row r="39" customFormat="false" ht="15" hidden="false" customHeight="false" outlineLevel="0" collapsed="false">
      <c r="A39" s="2" t="s">
        <v>326</v>
      </c>
      <c r="B39" s="2"/>
      <c r="C39" s="67" t="n">
        <f aca="false">C37*C38</f>
        <v>248508</v>
      </c>
      <c r="D39" s="67" t="n">
        <f aca="false">D37*D38</f>
        <v>202756.5</v>
      </c>
      <c r="E39" s="2"/>
      <c r="F39" s="2"/>
    </row>
    <row r="40" customFormat="false" ht="15" hidden="false" customHeight="false" outlineLevel="0" collapsed="false">
      <c r="A40" s="2" t="s">
        <v>327</v>
      </c>
      <c r="B40" s="2"/>
      <c r="C40" s="67" t="n">
        <f aca="false">SuezAnc</f>
        <v>40000</v>
      </c>
      <c r="D40" s="67" t="n">
        <f aca="false">SuezAnc</f>
        <v>40000</v>
      </c>
      <c r="E40" s="2"/>
      <c r="F40" s="2"/>
    </row>
    <row r="41" customFormat="false" ht="15" hidden="false" customHeight="false" outlineLevel="0" collapsed="false">
      <c r="A41" s="2" t="s">
        <v>328</v>
      </c>
      <c r="B41" s="2"/>
      <c r="C41" s="67" t="n">
        <f aca="false">WarAP*HullValue</f>
        <v>87500</v>
      </c>
      <c r="D41" s="67" t="n">
        <f aca="false">WarAP*HullValue</f>
        <v>87500</v>
      </c>
      <c r="E41" s="2"/>
      <c r="F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</row>
    <row r="45" customFormat="false" ht="15" hidden="false" customHeight="false" outlineLevel="0" collapsed="false">
      <c r="A45" s="18" t="s">
        <v>329</v>
      </c>
      <c r="B45" s="2"/>
      <c r="C45" s="68" t="n">
        <f aca="false">SUM(C39:C41)</f>
        <v>376008</v>
      </c>
      <c r="D45" s="68" t="n">
        <f aca="false">SUM(D39:D41)</f>
        <v>330256.5</v>
      </c>
      <c r="E45" s="2"/>
      <c r="F4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P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8"/>
    <col collapsed="false" customWidth="true" hidden="false" outlineLevel="0" max="4" min="4" style="0" width="58"/>
    <col collapsed="false" customWidth="true" hidden="false" outlineLevel="0" max="6" min="6" style="0" width="26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2" min="10" style="0" width="11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6" min="15" style="0" width="12"/>
  </cols>
  <sheetData>
    <row r="1" customFormat="false" ht="19.7" hidden="false" customHeight="false" outlineLevel="0" collapsed="false">
      <c r="A1" s="1" t="s">
        <v>330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20" t="s">
        <v>331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customFormat="false" ht="15" hidden="false" customHeight="false" outlineLevel="0" collapsed="false">
      <c r="A6" s="2"/>
      <c r="B6" s="2"/>
      <c r="C6" s="2"/>
      <c r="D6" s="2"/>
      <c r="E6" s="2"/>
      <c r="F6" s="7" t="s">
        <v>332</v>
      </c>
      <c r="G6" s="2"/>
      <c r="H6" s="2"/>
      <c r="I6" s="2"/>
      <c r="J6" s="2"/>
      <c r="K6" s="2"/>
      <c r="L6" s="2"/>
      <c r="M6" s="2"/>
      <c r="N6" s="2"/>
      <c r="O6" s="2"/>
      <c r="P6" s="2"/>
    </row>
    <row r="7" customFormat="false" ht="26.85" hidden="false" customHeight="false" outlineLevel="0" collapsed="false">
      <c r="A7" s="74" t="s">
        <v>333</v>
      </c>
      <c r="B7" s="75"/>
      <c r="C7" s="75"/>
      <c r="D7" s="75"/>
      <c r="E7" s="2"/>
      <c r="F7" s="21" t="s">
        <v>5</v>
      </c>
      <c r="G7" s="21" t="s">
        <v>334</v>
      </c>
      <c r="H7" s="21" t="s">
        <v>7</v>
      </c>
      <c r="I7" s="21" t="s">
        <v>335</v>
      </c>
      <c r="J7" s="21" t="s">
        <v>336</v>
      </c>
      <c r="K7" s="21" t="s">
        <v>187</v>
      </c>
      <c r="L7" s="21" t="s">
        <v>337</v>
      </c>
      <c r="M7" s="21" t="s">
        <v>338</v>
      </c>
      <c r="N7" s="21" t="s">
        <v>339</v>
      </c>
      <c r="O7" s="21" t="s">
        <v>340</v>
      </c>
      <c r="P7" s="21" t="s">
        <v>341</v>
      </c>
    </row>
    <row r="8" customFormat="false" ht="15" hidden="false" customHeight="false" outlineLevel="0" collapsed="false">
      <c r="A8" s="2" t="s">
        <v>5</v>
      </c>
      <c r="B8" s="2" t="str">
        <f aca="false">INDEX(Routes!$B$6:$B$9,Sw_Route)</f>
        <v>USG-ARA transatlantic</v>
      </c>
      <c r="C8" s="2"/>
      <c r="D8" s="76"/>
      <c r="E8" s="2"/>
      <c r="F8" s="2" t="str">
        <f aca="false">INDEX(Routes!$B$6:$B$9,1)</f>
        <v>USG-ARA transatlantic</v>
      </c>
      <c r="G8" s="77" t="n">
        <f aca="false">Engine!AJ36</f>
        <v>49.4074074074074</v>
      </c>
      <c r="H8" s="78" t="n">
        <f aca="false">Engine!AG36</f>
        <v>2275200</v>
      </c>
      <c r="I8" s="78" t="n">
        <f aca="false">Engine!Y36</f>
        <v>652340.344</v>
      </c>
      <c r="J8" s="78" t="n">
        <f aca="false">Engine!Z36</f>
        <v>252304.2096</v>
      </c>
      <c r="K8" s="78" t="n">
        <f aca="false">Engine!AA36</f>
        <v>0</v>
      </c>
      <c r="L8" s="78" t="n">
        <f aca="false">Engine!AB36</f>
        <v>123936.40875</v>
      </c>
      <c r="M8" s="78" t="n">
        <f aca="false">MiscVoy</f>
        <v>25000</v>
      </c>
      <c r="N8" s="78" t="n">
        <f aca="false">Engine!AK36</f>
        <v>23574.1784232009</v>
      </c>
      <c r="O8" s="78" t="n">
        <f aca="false">Engine!AL36</f>
        <v>275405.704316667</v>
      </c>
      <c r="P8" s="79" t="n">
        <f aca="false">Engine!AM36</f>
        <v>42.7690395737668</v>
      </c>
    </row>
    <row r="9" customFormat="false" ht="15" hidden="false" customHeight="false" outlineLevel="0" collapsed="false">
      <c r="A9" s="2" t="s">
        <v>342</v>
      </c>
      <c r="B9" s="80" t="n">
        <f aca="false">Brent</f>
        <v>82.01</v>
      </c>
      <c r="C9" s="2" t="str">
        <f aca="false">TEXT(Brent*VLSFO_Mult,"$#,##0")&amp;" / "&amp;TEXT(Brent*MGO_Mult,"$#,##0")&amp;" per t"</f>
        <v>$631 / $795 per t</v>
      </c>
      <c r="D9" s="76" t="s">
        <v>343</v>
      </c>
      <c r="E9" s="2"/>
      <c r="F9" s="2" t="str">
        <f aca="false">INDEX(Routes!$B$6:$B$9,2)</f>
        <v>USG-Far East via Panama</v>
      </c>
      <c r="G9" s="77" t="n">
        <f aca="false">Engine!AJ37</f>
        <v>82.5462962962963</v>
      </c>
      <c r="H9" s="78" t="n">
        <f aca="false">Engine!AG37</f>
        <v>3751200</v>
      </c>
      <c r="I9" s="78" t="n">
        <f aca="false">Engine!Y37</f>
        <v>1167607.12375</v>
      </c>
      <c r="J9" s="78" t="n">
        <f aca="false">Engine!Z37</f>
        <v>260742</v>
      </c>
      <c r="K9" s="78" t="n">
        <f aca="false">Engine!AA37</f>
        <v>426920</v>
      </c>
      <c r="L9" s="78" t="n">
        <f aca="false">Engine!AB37</f>
        <v>0</v>
      </c>
      <c r="M9" s="78" t="n">
        <f aca="false">MiscVoy</f>
        <v>25000</v>
      </c>
      <c r="N9" s="78" t="n">
        <f aca="false">Engine!AK37</f>
        <v>21529.1412938867</v>
      </c>
      <c r="O9" s="78" t="n">
        <f aca="false">Engine!AL37</f>
        <v>291317.542916667</v>
      </c>
      <c r="P9" s="79" t="n">
        <f aca="false">Engine!AM37</f>
        <v>82.2357116501871</v>
      </c>
    </row>
    <row r="10" customFormat="false" ht="15" hidden="false" customHeight="false" outlineLevel="0" collapsed="false">
      <c r="A10" s="2" t="s">
        <v>344</v>
      </c>
      <c r="B10" s="81" t="n">
        <f aca="false">FreightMult</f>
        <v>1</v>
      </c>
      <c r="C10" s="81" t="n">
        <f aca="false">PortMult</f>
        <v>1</v>
      </c>
      <c r="D10" s="76"/>
      <c r="E10" s="2"/>
      <c r="F10" s="2" t="str">
        <f aca="false">INDEX(Routes!$B$6:$B$9,3)</f>
        <v>ARA-India WC via Suez</v>
      </c>
      <c r="G10" s="77" t="n">
        <f aca="false">Engine!AJ38</f>
        <v>58.1574074074074</v>
      </c>
      <c r="H10" s="78" t="n">
        <f aca="false">Engine!AG38</f>
        <v>3285000</v>
      </c>
      <c r="I10" s="78" t="n">
        <f aca="false">Engine!Y38</f>
        <v>795786.08525</v>
      </c>
      <c r="J10" s="78" t="n">
        <f aca="false">Engine!Z38</f>
        <v>231562.2096</v>
      </c>
      <c r="K10" s="78" t="n">
        <f aca="false">Engine!AA38</f>
        <v>752016</v>
      </c>
      <c r="L10" s="78" t="n">
        <f aca="false">Engine!AB38</f>
        <v>154150.486875</v>
      </c>
      <c r="M10" s="78" t="n">
        <f aca="false">MiscVoy</f>
        <v>25000</v>
      </c>
      <c r="N10" s="78" t="n">
        <f aca="false">Engine!AK38</f>
        <v>21396.4183368413</v>
      </c>
      <c r="O10" s="78" t="n">
        <f aca="false">Engine!AL38</f>
        <v>197526.884941667</v>
      </c>
      <c r="P10" s="79" t="n">
        <f aca="false">Engine!AM38</f>
        <v>68.3793569652533</v>
      </c>
    </row>
    <row r="11" customFormat="false" ht="15" hidden="false" customHeight="false" outlineLevel="0" collapsed="false">
      <c r="A11" s="2" t="s">
        <v>345</v>
      </c>
      <c r="B11" s="72" t="n">
        <f aca="false">UtilFH</f>
        <v>0.85</v>
      </c>
      <c r="C11" s="72" t="n">
        <f aca="false">UtilBH</f>
        <v>0.5</v>
      </c>
      <c r="D11" s="76"/>
      <c r="E11" s="2"/>
      <c r="F11" s="2" t="str">
        <f aca="false">INDEX(Routes!$B$6:$B$9,4)</f>
        <v>ARA-India WC via Cape</v>
      </c>
      <c r="G11" s="77" t="n">
        <f aca="false">Engine!AJ39</f>
        <v>85.3240740740741</v>
      </c>
      <c r="H11" s="78" t="n">
        <f aca="false">Engine!AG39</f>
        <v>3285000</v>
      </c>
      <c r="I11" s="78" t="n">
        <f aca="false">Engine!Y39</f>
        <v>1283528.25875</v>
      </c>
      <c r="J11" s="78" t="n">
        <f aca="false">Engine!Z39</f>
        <v>231562.2096</v>
      </c>
      <c r="K11" s="78" t="n">
        <f aca="false">Engine!AA39</f>
        <v>0</v>
      </c>
      <c r="L11" s="78" t="n">
        <f aca="false">Engine!AB39</f>
        <v>255306.830625</v>
      </c>
      <c r="M11" s="78" t="n">
        <f aca="false">MiscVoy</f>
        <v>25000</v>
      </c>
      <c r="N11" s="78" t="n">
        <f aca="false">Engine!AK39</f>
        <v>16495.6692035486</v>
      </c>
      <c r="O11" s="78" t="n">
        <f aca="false">Engine!AL39</f>
        <v>-128355.632308333</v>
      </c>
      <c r="P11" s="79" t="n">
        <f aca="false">Engine!AM39</f>
        <v>79.3021830839059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customFormat="false" ht="15" hidden="false" customHeight="false" outlineLevel="0" collapsed="false">
      <c r="A13" s="74" t="s">
        <v>346</v>
      </c>
      <c r="B13" s="74" t="s">
        <v>334</v>
      </c>
      <c r="C13" s="75"/>
      <c r="D13" s="75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customFormat="false" ht="15" hidden="false" customHeight="false" outlineLevel="0" collapsed="false">
      <c r="A14" s="2" t="s">
        <v>185</v>
      </c>
      <c r="B14" s="71" t="n">
        <f aca="false">INDEX(Routes!$E$6:$E$9,Sw_Route)</f>
        <v>5000</v>
      </c>
      <c r="C14" s="2"/>
      <c r="D14" s="76" t="s">
        <v>347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customFormat="false" ht="15" hidden="false" customHeight="false" outlineLevel="0" collapsed="false">
      <c r="A15" s="2" t="s">
        <v>348</v>
      </c>
      <c r="B15" s="77" t="n">
        <f aca="false">B14*(1+SeaMargin)/(Speed*24)</f>
        <v>16.2037037037037</v>
      </c>
      <c r="C15" s="2"/>
      <c r="D15" s="76" t="s">
        <v>349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customFormat="false" ht="15" hidden="false" customHeight="false" outlineLevel="0" collapsed="false">
      <c r="A16" s="2" t="s">
        <v>350</v>
      </c>
      <c r="B16" s="77" t="n">
        <f aca="false">B15</f>
        <v>16.2037037037037</v>
      </c>
      <c r="C16" s="2"/>
      <c r="D16" s="76" t="s">
        <v>351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customFormat="false" ht="15" hidden="false" customHeight="false" outlineLevel="0" collapsed="false">
      <c r="A17" s="2" t="s">
        <v>352</v>
      </c>
      <c r="B17" s="77" t="n">
        <f aca="false">INDEX(Routes!$L$6:$L$9,Sw_Route)*(1+IF(UtilBH&gt;0,1,0))*PortMult</f>
        <v>10</v>
      </c>
      <c r="C17" s="2"/>
      <c r="D17" s="76" t="s">
        <v>353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customFormat="false" ht="15" hidden="false" customHeight="false" outlineLevel="0" collapsed="false">
      <c r="A18" s="2" t="s">
        <v>354</v>
      </c>
      <c r="B18" s="77" t="n">
        <f aca="false">INDEX(Routes!$M$6:$M$9,Sw_Route)*(1+IF(UtilBH&gt;0,1,0))*PortMult</f>
        <v>7</v>
      </c>
      <c r="C18" s="2"/>
      <c r="D18" s="76" t="s">
        <v>355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customFormat="false" ht="15" hidden="false" customHeight="false" outlineLevel="0" collapsed="false">
      <c r="A19" s="2" t="s">
        <v>356</v>
      </c>
      <c r="B19" s="77" t="n">
        <f aca="false">INDEX(Routes!$H$6:$H$9,Sw_Route)*2</f>
        <v>0</v>
      </c>
      <c r="C19" s="2"/>
      <c r="D19" s="76" t="s">
        <v>357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customFormat="false" ht="15" hidden="false" customHeight="false" outlineLevel="0" collapsed="false">
      <c r="A20" s="2" t="s">
        <v>358</v>
      </c>
      <c r="B20" s="77" t="n">
        <f aca="false">SUM(B15:B19)</f>
        <v>49.4074074074074</v>
      </c>
      <c r="C20" s="2"/>
      <c r="D20" s="7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customFormat="false" ht="15" hidden="false" customHeight="false" outlineLevel="0" collapsed="false">
      <c r="A22" s="74" t="s">
        <v>359</v>
      </c>
      <c r="B22" s="74" t="s">
        <v>124</v>
      </c>
      <c r="C22" s="75"/>
      <c r="D22" s="7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customFormat="false" ht="15" hidden="false" customHeight="false" outlineLevel="0" collapsed="false">
      <c r="A23" s="2" t="s">
        <v>360</v>
      </c>
      <c r="B23" s="71" t="n">
        <f aca="false">Capacity*UtilFH</f>
        <v>30600</v>
      </c>
      <c r="C23" s="82" t="n">
        <f aca="false">INDEX(Routes!$J$6:$J$9,Sw_Route)*FreightMult</f>
        <v>52</v>
      </c>
      <c r="D23" s="76" t="s">
        <v>361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customFormat="false" ht="15" hidden="false" customHeight="false" outlineLevel="0" collapsed="false">
      <c r="A24" s="2" t="s">
        <v>362</v>
      </c>
      <c r="B24" s="71" t="n">
        <f aca="false">Capacity*UtilBH</f>
        <v>18000</v>
      </c>
      <c r="C24" s="82" t="n">
        <f aca="false">INDEX(Routes!$K$6:$K$9,Sw_Route)*FreightMult</f>
        <v>38</v>
      </c>
      <c r="D24" s="7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customFormat="false" ht="15" hidden="false" customHeight="false" outlineLevel="0" collapsed="false">
      <c r="A25" s="18" t="s">
        <v>7</v>
      </c>
      <c r="B25" s="83" t="n">
        <f aca="false">B23*C23+B24*C24</f>
        <v>2275200</v>
      </c>
      <c r="C25" s="2"/>
      <c r="D25" s="7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customFormat="false" ht="15" hidden="false" customHeight="false" outlineLevel="0" collapsed="false">
      <c r="A26" s="2" t="s">
        <v>363</v>
      </c>
      <c r="B26" s="67" t="n">
        <f aca="false">-B25*Commission</f>
        <v>-56880</v>
      </c>
      <c r="C26" s="2"/>
      <c r="D26" s="76" t="s">
        <v>364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customFormat="false" ht="15" hidden="false" customHeight="false" outlineLevel="0" collapsed="false">
      <c r="A27" s="18" t="s">
        <v>365</v>
      </c>
      <c r="B27" s="83" t="n">
        <f aca="false">B25+B26</f>
        <v>2218320</v>
      </c>
      <c r="C27" s="2"/>
      <c r="D27" s="7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customFormat="false" ht="15" hidden="false" customHeight="false" outlineLevel="0" collapsed="false">
      <c r="A29" s="74" t="s">
        <v>366</v>
      </c>
      <c r="B29" s="74" t="s">
        <v>124</v>
      </c>
      <c r="C29" s="74" t="s">
        <v>99</v>
      </c>
      <c r="D29" s="75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customFormat="false" ht="15" hidden="false" customHeight="false" outlineLevel="0" collapsed="false">
      <c r="A30" s="2" t="s">
        <v>367</v>
      </c>
      <c r="B30" s="84" t="n">
        <f aca="false">(Speed/RefSpeed)^SpeedExp</f>
        <v>1</v>
      </c>
      <c r="C30" s="2"/>
      <c r="D30" s="76" t="s">
        <v>368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customFormat="false" ht="15" hidden="false" customHeight="false" outlineLevel="0" collapsed="false">
      <c r="A31" s="2" t="s">
        <v>369</v>
      </c>
      <c r="B31" s="71" t="n">
        <f aca="false">B15*B30*ConsLaden+B16*B30*IF(UtilBH&gt;0,ConsLaden,ConsBallast)</f>
        <v>875</v>
      </c>
      <c r="C31" s="2"/>
      <c r="D31" s="7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customFormat="false" ht="15" hidden="false" customHeight="false" outlineLevel="0" collapsed="false">
      <c r="A32" s="2" t="s">
        <v>370</v>
      </c>
      <c r="B32" s="72" t="n">
        <f aca="false">INDEX(Routes!$F$6:$F$9,Sw_Route)/B14</f>
        <v>0.13</v>
      </c>
      <c r="C32" s="2"/>
      <c r="D32" s="76" t="s">
        <v>371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customFormat="false" ht="15" hidden="false" customHeight="false" outlineLevel="0" collapsed="false">
      <c r="A33" s="2" t="s">
        <v>372</v>
      </c>
      <c r="B33" s="67" t="n">
        <f aca="false">C33*Brent*VLSFO_Mult</f>
        <v>480711.86625</v>
      </c>
      <c r="C33" s="71" t="n">
        <f aca="false">B31*(1-B32)</f>
        <v>761.25</v>
      </c>
      <c r="D33" s="76" t="s">
        <v>373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customFormat="false" ht="15" hidden="false" customHeight="false" outlineLevel="0" collapsed="false">
      <c r="A34" s="2" t="s">
        <v>374</v>
      </c>
      <c r="B34" s="67" t="n">
        <f aca="false">C34*Brent*MGO_Mult</f>
        <v>171628.47775</v>
      </c>
      <c r="C34" s="71" t="n">
        <f aca="false">B31*B32+(B17+B18+B19)*ConsPort</f>
        <v>215.75</v>
      </c>
      <c r="D34" s="76" t="s">
        <v>373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customFormat="false" ht="15" hidden="false" customHeight="false" outlineLevel="0" collapsed="false">
      <c r="A35" s="2" t="s">
        <v>375</v>
      </c>
      <c r="B35" s="67" t="n">
        <f aca="false">(INDEX(Routes!$N$6:$N$9,Sw_Route)+LOA_ft*Port_Tariffs!$C$9*IF((INDEX(Routes!$L$6:$L$9,Sw_Route)*INDEX(Routes!$X$6:$X$9,Sw_Route)*PortMult)&lt;=2,(INDEX(Routes!$L$6:$L$9,Sw_Route)*INDEX(Routes!$X$6:$X$9,Sw_Route)*PortMult),IF((INDEX(Routes!$L$6:$L$9,Sw_Route)*INDEX(Routes!$X$6:$X$9,Sw_Route)*PortMult)&lt;=3,2+0.9*((INDEX(Routes!$L$6:$L$9,Sw_Route)*INDEX(Routes!$X$6:$X$9,Sw_Route)*PortMult)-2),IF((INDEX(Routes!$L$6:$L$9,Sw_Route)*INDEX(Routes!$X$6:$X$9,Sw_Route)*PortMult)&lt;=4,2.9+0.75*((INDEX(Routes!$L$6:$L$9,Sw_Route)*INDEX(Routes!$X$6:$X$9,Sw_Route)*PortMult)-3),IF((INDEX(Routes!$L$6:$L$9,Sw_Route)*INDEX(Routes!$X$6:$X$9,Sw_Route)*PortMult)&lt;=5,3.65+0.6*((INDEX(Routes!$L$6:$L$9,Sw_Route)*INDEX(Routes!$X$6:$X$9,Sw_Route)*PortMult)-4),4.25+0.5*((INDEX(Routes!$L$6:$L$9,Sw_Route)*INDEX(Routes!$X$6:$X$9,Sw_Route)*PortMult)-5)))))+MIN(B23*INDEX(Routes!$T$6:$T$9,Sw_Route),INDEX(Routes!$V$6:$V$9,Sw_Route))+INDEX(Routes!$O$6:$O$9,Sw_Route)+LOA_ft*Port_Tariffs!$C$9*IF((INDEX(Routes!$M$6:$M$9,Sw_Route)*INDEX(Routes!$Y$6:$Y$9,Sw_Route)*PortMult)&lt;=2,(INDEX(Routes!$M$6:$M$9,Sw_Route)*INDEX(Routes!$Y$6:$Y$9,Sw_Route)*PortMult),IF((INDEX(Routes!$M$6:$M$9,Sw_Route)*INDEX(Routes!$Y$6:$Y$9,Sw_Route)*PortMult)&lt;=3,2+0.9*((INDEX(Routes!$M$6:$M$9,Sw_Route)*INDEX(Routes!$Y$6:$Y$9,Sw_Route)*PortMult)-2),IF((INDEX(Routes!$M$6:$M$9,Sw_Route)*INDEX(Routes!$Y$6:$Y$9,Sw_Route)*PortMult)&lt;=4,2.9+0.75*((INDEX(Routes!$M$6:$M$9,Sw_Route)*INDEX(Routes!$Y$6:$Y$9,Sw_Route)*PortMult)-3),IF((INDEX(Routes!$M$6:$M$9,Sw_Route)*INDEX(Routes!$Y$6:$Y$9,Sw_Route)*PortMult)&lt;=5,3.65+0.6*((INDEX(Routes!$M$6:$M$9,Sw_Route)*INDEX(Routes!$Y$6:$Y$9,Sw_Route)*PortMult)-4),4.25+0.5*((INDEX(Routes!$M$6:$M$9,Sw_Route)*INDEX(Routes!$Y$6:$Y$9,Sw_Route)*PortMult)-5)))))+MIN(B23*INDEX(Routes!$U$6:$U$9,Sw_Route),INDEX(Routes!$W$6:$W$9,Sw_Route))+IF(UtilBH&gt;0,INDEX(Routes!$N$6:$N$9,Sw_Route)+LOA_ft*Port_Tariffs!$C$9*IF((INDEX(Routes!$L$6:$L$9,Sw_Route)*INDEX(Routes!$X$6:$X$9,Sw_Route)*PortMult)&lt;=2,(INDEX(Routes!$L$6:$L$9,Sw_Route)*INDEX(Routes!$X$6:$X$9,Sw_Route)*PortMult),IF((INDEX(Routes!$L$6:$L$9,Sw_Route)*INDEX(Routes!$X$6:$X$9,Sw_Route)*PortMult)&lt;=3,2+0.9*((INDEX(Routes!$L$6:$L$9,Sw_Route)*INDEX(Routes!$X$6:$X$9,Sw_Route)*PortMult)-2),IF((INDEX(Routes!$L$6:$L$9,Sw_Route)*INDEX(Routes!$X$6:$X$9,Sw_Route)*PortMult)&lt;=4,2.9+0.75*((INDEX(Routes!$L$6:$L$9,Sw_Route)*INDEX(Routes!$X$6:$X$9,Sw_Route)*PortMult)-3),IF((INDEX(Routes!$L$6:$L$9,Sw_Route)*INDEX(Routes!$X$6:$X$9,Sw_Route)*PortMult)&lt;=5,3.65+0.6*((INDEX(Routes!$L$6:$L$9,Sw_Route)*INDEX(Routes!$X$6:$X$9,Sw_Route)*PortMult)-4),4.25+0.5*((INDEX(Routes!$L$6:$L$9,Sw_Route)*INDEX(Routes!$X$6:$X$9,Sw_Route)*PortMult)-5)))))+MIN(B24*INDEX(Routes!$T$6:$T$9,Sw_Route),INDEX(Routes!$V$6:$V$9,Sw_Route))+INDEX(Routes!$O$6:$O$9,Sw_Route)+LOA_ft*Port_Tariffs!$C$9*IF((INDEX(Routes!$M$6:$M$9,Sw_Route)*INDEX(Routes!$Y$6:$Y$9,Sw_Route)*PortMult)&lt;=2,(INDEX(Routes!$M$6:$M$9,Sw_Route)*INDEX(Routes!$Y$6:$Y$9,Sw_Route)*PortMult),IF((INDEX(Routes!$M$6:$M$9,Sw_Route)*INDEX(Routes!$Y$6:$Y$9,Sw_Route)*PortMult)&lt;=3,2+0.9*((INDEX(Routes!$M$6:$M$9,Sw_Route)*INDEX(Routes!$Y$6:$Y$9,Sw_Route)*PortMult)-2),IF((INDEX(Routes!$M$6:$M$9,Sw_Route)*INDEX(Routes!$Y$6:$Y$9,Sw_Route)*PortMult)&lt;=4,2.9+0.75*((INDEX(Routes!$M$6:$M$9,Sw_Route)*INDEX(Routes!$Y$6:$Y$9,Sw_Route)*PortMult)-3),IF((INDEX(Routes!$M$6:$M$9,Sw_Route)*INDEX(Routes!$Y$6:$Y$9,Sw_Route)*PortMult)&lt;=5,3.65+0.6*((INDEX(Routes!$M$6:$M$9,Sw_Route)*INDEX(Routes!$Y$6:$Y$9,Sw_Route)*PortMult)-4),4.25+0.5*((INDEX(Routes!$M$6:$M$9,Sw_Route)*INDEX(Routes!$Y$6:$Y$9,Sw_Route)*PortMult)-5)))))+MIN(B24*INDEX(Routes!$U$6:$U$9,Sw_Route),INDEX(Routes!$W$6:$W$9,Sw_Route)),0))*PortCostMult</f>
        <v>252304.2096</v>
      </c>
      <c r="C35" s="2"/>
      <c r="D35" s="76" t="s">
        <v>376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customFormat="false" ht="15" hidden="false" customHeight="false" outlineLevel="0" collapsed="false">
      <c r="A36" s="2" t="s">
        <v>377</v>
      </c>
      <c r="B36" s="67" t="n">
        <f aca="false">INDEX(Routes!$R$6:$R$9,Sw_Route)+IF(UtilBH&gt;0,INDEX(Routes!$R$6:$R$9,Sw_Route),INDEX(Routes!$S$6:$S$9,Sw_Route))</f>
        <v>0</v>
      </c>
      <c r="C36" s="2"/>
      <c r="D36" s="76" t="s">
        <v>378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customFormat="false" ht="15" hidden="false" customHeight="false" outlineLevel="0" collapsed="false">
      <c r="A37" s="2" t="s">
        <v>379</v>
      </c>
      <c r="B37" s="67" t="n">
        <f aca="false">((C33*CO2_VLSFO+B31*B32*CO2_MGO)*INDEX(Routes!$I$6:$I$9,Sw_Route)+(B17*INDEX(Routes!$P$6:$P$9,Sw_Route)+B18*INDEX(Routes!$Q$6:$Q$9,Sw_Route))*ConsPort*CO2_MGO)*PhaseIn*EUA*FX</f>
        <v>123936.40875</v>
      </c>
      <c r="C37" s="2"/>
      <c r="D37" s="76" t="s">
        <v>380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customFormat="false" ht="15" hidden="false" customHeight="false" outlineLevel="0" collapsed="false">
      <c r="A38" s="2" t="s">
        <v>381</v>
      </c>
      <c r="B38" s="67" t="n">
        <f aca="false">MiscVoy</f>
        <v>25000</v>
      </c>
      <c r="C38" s="2"/>
      <c r="D38" s="7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customFormat="false" ht="15" hidden="false" customHeight="false" outlineLevel="0" collapsed="false">
      <c r="A39" s="18" t="s">
        <v>8</v>
      </c>
      <c r="B39" s="83" t="n">
        <f aca="false">SUM(B33:B38)</f>
        <v>1053580.96235</v>
      </c>
      <c r="C39" s="2"/>
      <c r="D39" s="7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customFormat="false" ht="15" hidden="false" customHeight="false" outlineLevel="0" collapsed="false">
      <c r="A41" s="74" t="s">
        <v>382</v>
      </c>
      <c r="B41" s="75"/>
      <c r="C41" s="75"/>
      <c r="D41" s="75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customFormat="false" ht="15" hidden="false" customHeight="false" outlineLevel="0" collapsed="false">
      <c r="A42" s="18" t="s">
        <v>383</v>
      </c>
      <c r="B42" s="83" t="n">
        <f aca="false">B27-B39</f>
        <v>1164739.03765</v>
      </c>
      <c r="C42" s="2"/>
      <c r="D42" s="7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customFormat="false" ht="15" hidden="false" customHeight="false" outlineLevel="0" collapsed="false">
      <c r="A43" s="7" t="s">
        <v>384</v>
      </c>
      <c r="B43" s="85" t="n">
        <f aca="false">B42/B20</f>
        <v>23574.1784232009</v>
      </c>
      <c r="C43" s="2"/>
      <c r="D43" s="76" t="s">
        <v>385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customFormat="false" ht="15" hidden="false" customHeight="false" outlineLevel="0" collapsed="false">
      <c r="A44" s="2" t="s">
        <v>386</v>
      </c>
      <c r="B44" s="67" t="n">
        <f aca="false">Benchmark</f>
        <v>18000</v>
      </c>
      <c r="C44" s="2"/>
      <c r="D44" s="76" t="s">
        <v>387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customFormat="false" ht="15" hidden="false" customHeight="false" outlineLevel="0" collapsed="false">
      <c r="A45" s="2" t="s">
        <v>388</v>
      </c>
      <c r="B45" s="67" t="n">
        <f aca="false">B43-B44</f>
        <v>5574.1784232009</v>
      </c>
      <c r="C45" s="2"/>
      <c r="D45" s="7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customFormat="false" ht="15" hidden="false" customHeight="false" outlineLevel="0" collapsed="false">
      <c r="A46" s="18" t="s">
        <v>389</v>
      </c>
      <c r="B46" s="83" t="n">
        <f aca="false">B45*B20</f>
        <v>275405.704316667</v>
      </c>
      <c r="C46" s="2"/>
      <c r="D46" s="7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customFormat="false" ht="15" hidden="false" customHeight="false" outlineLevel="0" collapsed="false">
      <c r="A47" s="7" t="s">
        <v>390</v>
      </c>
      <c r="B47" s="86" t="n">
        <f aca="false">((B44*B20+B39)/(1-Commission)-B24*C24)/B23</f>
        <v>42.7690395737668</v>
      </c>
      <c r="C47" s="2"/>
      <c r="D47" s="76" t="s">
        <v>391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customFormat="false" ht="15" hidden="false" customHeight="false" outlineLevel="0" collapsed="false">
      <c r="A48" s="2" t="s">
        <v>392</v>
      </c>
      <c r="B48" s="72" t="n">
        <f aca="false">C23/B47-1</f>
        <v>0.215832773385334</v>
      </c>
      <c r="C48" s="2"/>
      <c r="D48" s="76" t="s">
        <v>393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customFormat="false" ht="15" hidden="false" customHeight="false" outlineLevel="0" collapsed="false">
      <c r="A50" s="74" t="s">
        <v>394</v>
      </c>
      <c r="B50" s="75"/>
      <c r="C50" s="75"/>
      <c r="D50" s="75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customFormat="false" ht="15" hidden="false" customHeight="false" outlineLevel="0" collapsed="false">
      <c r="A51" s="2" t="s">
        <v>335</v>
      </c>
      <c r="B51" s="72" t="n">
        <f aca="false">(B33+B34)/B39</f>
        <v>0.619164893170585</v>
      </c>
      <c r="C51" s="2"/>
      <c r="D51" s="7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customFormat="false" ht="15" hidden="false" customHeight="false" outlineLevel="0" collapsed="false">
      <c r="A52" s="2" t="s">
        <v>336</v>
      </c>
      <c r="B52" s="72" t="n">
        <f aca="false">B35/B39</f>
        <v>0.239473014999472</v>
      </c>
      <c r="C52" s="2"/>
      <c r="D52" s="7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customFormat="false" ht="15" hidden="false" customHeight="false" outlineLevel="0" collapsed="false">
      <c r="A53" s="2" t="s">
        <v>187</v>
      </c>
      <c r="B53" s="72" t="n">
        <f aca="false">B36/B39</f>
        <v>0</v>
      </c>
      <c r="C53" s="2"/>
      <c r="D53" s="7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customFormat="false" ht="15" hidden="false" customHeight="false" outlineLevel="0" collapsed="false">
      <c r="A54" s="2" t="s">
        <v>337</v>
      </c>
      <c r="B54" s="72" t="n">
        <f aca="false">B37/B39</f>
        <v>0.117633492990953</v>
      </c>
      <c r="C54" s="2"/>
      <c r="D54" s="7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customFormat="false" ht="15" hidden="false" customHeight="false" outlineLevel="0" collapsed="false">
      <c r="A55" s="2" t="s">
        <v>338</v>
      </c>
      <c r="B55" s="72" t="n">
        <f aca="false">B38/B39</f>
        <v>0.0237285988389898</v>
      </c>
      <c r="C55" s="2"/>
      <c r="D55" s="7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customFormat="false" ht="15" hidden="false" customHeight="false" outlineLevel="0" collapsed="false">
      <c r="A56" s="2" t="s">
        <v>395</v>
      </c>
      <c r="B56" s="72" t="n">
        <f aca="false">B39/B27</f>
        <v>0.474945437245303</v>
      </c>
      <c r="C56" s="2"/>
      <c r="D56" s="7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customFormat="false" ht="15" hidden="false" customHeight="false" outlineLevel="0" collapsed="false">
      <c r="A58" s="74" t="s">
        <v>396</v>
      </c>
      <c r="B58" s="75"/>
      <c r="C58" s="75"/>
      <c r="D58" s="75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customFormat="false" ht="15" hidden="false" customHeight="false" outlineLevel="0" collapsed="false">
      <c r="A59" s="2" t="s">
        <v>397</v>
      </c>
      <c r="B59" s="67" t="n">
        <f aca="false">Engine!AK7</f>
        <v>23574.1784232009</v>
      </c>
      <c r="C59" s="2"/>
      <c r="D59" s="7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customFormat="false" ht="15" hidden="false" customHeight="false" outlineLevel="0" collapsed="false">
      <c r="A60" s="2" t="s">
        <v>398</v>
      </c>
      <c r="B60" s="82" t="n">
        <f aca="false">ROUND(B43-B59,6)</f>
        <v>0</v>
      </c>
      <c r="C60" s="82" t="str">
        <f aca="false">IF(B60=0,"OK","CHECK")</f>
        <v>OK</v>
      </c>
      <c r="D60" s="7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</sheetData>
  <conditionalFormatting sqref="B46">
    <cfRule type="cellIs" priority="2" operator="lessThan" aboveAverage="0" equalAverage="0" bottom="0" percent="0" rank="0" text="" dxfId="0">
      <formula>0</formula>
    </cfRule>
  </conditionalFormatting>
  <conditionalFormatting sqref="C60">
    <cfRule type="cellIs" priority="3" operator="equal" aboveAverage="0" equalAverage="0" bottom="0" percent="0" rank="0" text="" dxfId="0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9" min="2" style="0" width="13"/>
  </cols>
  <sheetData>
    <row r="1" customFormat="false" ht="19.7" hidden="false" customHeight="false" outlineLevel="0" collapsed="false">
      <c r="A1" s="1" t="s">
        <v>399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0" t="s">
        <v>400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18" t="s">
        <v>401</v>
      </c>
      <c r="B5" s="87" t="n">
        <f aca="false">Engine!AK7</f>
        <v>23574.1784232009</v>
      </c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" hidden="false" customHeight="false" outlineLevel="0" collapsed="false">
      <c r="A7" s="7" t="s">
        <v>402</v>
      </c>
      <c r="B7" s="2"/>
      <c r="C7" s="2"/>
      <c r="D7" s="2"/>
      <c r="E7" s="2"/>
      <c r="F7" s="2"/>
      <c r="G7" s="2"/>
      <c r="H7" s="2"/>
    </row>
    <row r="8" customFormat="false" ht="15" hidden="false" customHeight="false" outlineLevel="0" collapsed="false">
      <c r="A8" s="21" t="s">
        <v>83</v>
      </c>
      <c r="B8" s="21" t="s">
        <v>403</v>
      </c>
      <c r="C8" s="21" t="s">
        <v>404</v>
      </c>
      <c r="D8" s="21" t="s">
        <v>69</v>
      </c>
      <c r="E8" s="21" t="s">
        <v>405</v>
      </c>
      <c r="F8" s="21" t="s">
        <v>406</v>
      </c>
      <c r="G8" s="21" t="s">
        <v>407</v>
      </c>
      <c r="H8" s="21" t="s">
        <v>408</v>
      </c>
    </row>
    <row r="9" customFormat="false" ht="15" hidden="false" customHeight="false" outlineLevel="0" collapsed="false">
      <c r="A9" s="2" t="s">
        <v>409</v>
      </c>
      <c r="B9" s="88" t="n">
        <f aca="false">Engine!E9</f>
        <v>0.91</v>
      </c>
      <c r="C9" s="88" t="n">
        <f aca="false">Engine!E10</f>
        <v>1.25</v>
      </c>
      <c r="D9" s="2" t="s">
        <v>75</v>
      </c>
      <c r="E9" s="78" t="n">
        <f aca="false">Engine!AK9</f>
        <v>19533.310657084</v>
      </c>
      <c r="F9" s="78" t="n">
        <f aca="false">Engine!AK10</f>
        <v>34798.8111068591</v>
      </c>
      <c r="G9" s="67" t="n">
        <f aca="false">ABS(F9-E9)</f>
        <v>15265.5004497751</v>
      </c>
      <c r="H9" s="84" t="n">
        <f aca="false">G9+ROW()/1000000</f>
        <v>15265.5004587751</v>
      </c>
    </row>
    <row r="10" customFormat="false" ht="15" hidden="false" customHeight="false" outlineLevel="0" collapsed="false">
      <c r="A10" s="2" t="s">
        <v>410</v>
      </c>
      <c r="B10" s="79" t="n">
        <f aca="false">Engine!D11</f>
        <v>67.98</v>
      </c>
      <c r="C10" s="79" t="n">
        <f aca="false">Engine!D12</f>
        <v>104.84</v>
      </c>
      <c r="D10" s="2" t="s">
        <v>72</v>
      </c>
      <c r="E10" s="78" t="n">
        <f aca="false">Engine!AK11</f>
        <v>25832.9537335457</v>
      </c>
      <c r="F10" s="78" t="n">
        <f aca="false">Engine!AK12</f>
        <v>19898.6374157047</v>
      </c>
      <c r="G10" s="67" t="n">
        <f aca="false">ABS(F10-E10)</f>
        <v>5934.31631784108</v>
      </c>
      <c r="H10" s="84" t="n">
        <f aca="false">G10+ROW()/1000000</f>
        <v>5934.31632784108</v>
      </c>
    </row>
    <row r="11" customFormat="false" ht="15" hidden="false" customHeight="false" outlineLevel="0" collapsed="false">
      <c r="A11" s="2" t="s">
        <v>411</v>
      </c>
      <c r="B11" s="88" t="n">
        <f aca="false">Engine!F13</f>
        <v>0.75</v>
      </c>
      <c r="C11" s="88" t="n">
        <f aca="false">Engine!F14</f>
        <v>1.75</v>
      </c>
      <c r="D11" s="2" t="s">
        <v>77</v>
      </c>
      <c r="E11" s="78" t="n">
        <f aca="false">Engine!AK13</f>
        <v>26505.1932200533</v>
      </c>
      <c r="F11" s="78" t="n">
        <f aca="false">Engine!AK14</f>
        <v>17305.3730764487</v>
      </c>
      <c r="G11" s="67" t="n">
        <f aca="false">ABS(F11-E11)</f>
        <v>9199.82014360463</v>
      </c>
      <c r="H11" s="84" t="n">
        <f aca="false">G11+ROW()/1000000</f>
        <v>9199.82015460463</v>
      </c>
    </row>
    <row r="12" customFormat="false" ht="15" hidden="false" customHeight="false" outlineLevel="0" collapsed="false">
      <c r="A12" s="2" t="s">
        <v>92</v>
      </c>
      <c r="B12" s="89" t="n">
        <f aca="false">Engine!G15</f>
        <v>0.7</v>
      </c>
      <c r="C12" s="89" t="n">
        <f aca="false">Engine!G16</f>
        <v>0.95</v>
      </c>
      <c r="D12" s="2" t="s">
        <v>79</v>
      </c>
      <c r="E12" s="78" t="n">
        <f aca="false">Engine!AK15</f>
        <v>18104.5773293478</v>
      </c>
      <c r="F12" s="78" t="n">
        <f aca="false">Engine!AK16</f>
        <v>27258.7318953328</v>
      </c>
      <c r="G12" s="67" t="n">
        <f aca="false">ABS(F12-E12)</f>
        <v>9154.15456598501</v>
      </c>
      <c r="H12" s="84" t="n">
        <f aca="false">G12+ROW()/1000000</f>
        <v>9154.15457798501</v>
      </c>
    </row>
    <row r="13" customFormat="false" ht="15" hidden="false" customHeight="false" outlineLevel="0" collapsed="false">
      <c r="A13" s="2" t="s">
        <v>94</v>
      </c>
      <c r="B13" s="89" t="n">
        <f aca="false">Engine!H17</f>
        <v>0.25</v>
      </c>
      <c r="C13" s="89" t="n">
        <f aca="false">Engine!H18</f>
        <v>0.75</v>
      </c>
      <c r="D13" s="2" t="s">
        <v>79</v>
      </c>
      <c r="E13" s="78" t="n">
        <f aca="false">Engine!AK17</f>
        <v>16944.6458654798</v>
      </c>
      <c r="F13" s="78" t="n">
        <f aca="false">Engine!AK18</f>
        <v>30203.710980922</v>
      </c>
      <c r="G13" s="67" t="n">
        <f aca="false">ABS(F13-E13)</f>
        <v>13259.0651154423</v>
      </c>
      <c r="H13" s="84" t="n">
        <f aca="false">G13+ROW()/1000000</f>
        <v>13259.0651284423</v>
      </c>
    </row>
    <row r="14" customFormat="false" ht="15" hidden="false" customHeight="false" outlineLevel="0" collapsed="false">
      <c r="A14" s="2" t="s">
        <v>412</v>
      </c>
      <c r="B14" s="90" t="n">
        <f aca="false">Engine!I19</f>
        <v>12</v>
      </c>
      <c r="C14" s="90" t="n">
        <f aca="false">Engine!I20</f>
        <v>14.5</v>
      </c>
      <c r="D14" s="2" t="s">
        <v>104</v>
      </c>
      <c r="E14" s="78" t="n">
        <f aca="false">Engine!AK19</f>
        <v>24473.2716996392</v>
      </c>
      <c r="F14" s="78" t="n">
        <f aca="false">Engine!AK20</f>
        <v>22463.3073284507</v>
      </c>
      <c r="G14" s="67" t="n">
        <f aca="false">ABS(F14-E14)</f>
        <v>2009.9643711885</v>
      </c>
      <c r="H14" s="84" t="n">
        <f aca="false">G14+ROW()/1000000</f>
        <v>2009.9643851885</v>
      </c>
    </row>
    <row r="15" customFormat="false" ht="15" hidden="false" customHeight="false" outlineLevel="0" collapsed="false">
      <c r="A15" s="2" t="s">
        <v>375</v>
      </c>
      <c r="B15" s="88" t="n">
        <f aca="false">Engine!J21</f>
        <v>0.75</v>
      </c>
      <c r="C15" s="88" t="n">
        <f aca="false">Engine!J22</f>
        <v>1.25</v>
      </c>
      <c r="D15" s="2" t="s">
        <v>413</v>
      </c>
      <c r="E15" s="78" t="n">
        <f aca="false">Engine!AK21</f>
        <v>24850.8301584333</v>
      </c>
      <c r="F15" s="78" t="n">
        <f aca="false">Engine!AK22</f>
        <v>22297.5266879685</v>
      </c>
      <c r="G15" s="67" t="n">
        <f aca="false">ABS(F15-E15)</f>
        <v>2553.30347046477</v>
      </c>
      <c r="H15" s="84" t="n">
        <f aca="false">G15+ROW()/1000000</f>
        <v>2553.30348546477</v>
      </c>
    </row>
    <row r="16" customFormat="false" ht="15" hidden="false" customHeight="false" outlineLevel="0" collapsed="false">
      <c r="A16" s="2" t="s">
        <v>414</v>
      </c>
      <c r="B16" s="90" t="n">
        <f aca="false">Engine!K23</f>
        <v>50</v>
      </c>
      <c r="C16" s="90" t="n">
        <f aca="false">Engine!K24</f>
        <v>110</v>
      </c>
      <c r="D16" s="2" t="s">
        <v>415</v>
      </c>
      <c r="E16" s="78" t="n">
        <f aca="false">Engine!AK23</f>
        <v>24410.331105922</v>
      </c>
      <c r="F16" s="78" t="n">
        <f aca="false">Engine!AK24</f>
        <v>22403.5646673913</v>
      </c>
      <c r="G16" s="67" t="n">
        <f aca="false">ABS(F16-E16)</f>
        <v>2006.76643853074</v>
      </c>
      <c r="H16" s="84" t="n">
        <f aca="false">G16+ROW()/1000000</f>
        <v>2006.76645453074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</row>
    <row r="19" customFormat="false" ht="15" hidden="false" customHeight="false" outlineLevel="0" collapsed="false">
      <c r="A19" s="7" t="s">
        <v>416</v>
      </c>
      <c r="B19" s="2"/>
      <c r="C19" s="2"/>
      <c r="D19" s="2"/>
      <c r="E19" s="2"/>
      <c r="F19" s="2"/>
      <c r="G19" s="2"/>
      <c r="H19" s="2"/>
    </row>
    <row r="20" customFormat="false" ht="26.85" hidden="false" customHeight="false" outlineLevel="0" collapsed="false">
      <c r="A20" s="21" t="s">
        <v>83</v>
      </c>
      <c r="B20" s="21" t="s">
        <v>417</v>
      </c>
      <c r="C20" s="21" t="s">
        <v>418</v>
      </c>
      <c r="D20" s="21" t="s">
        <v>407</v>
      </c>
      <c r="E20" s="21" t="s">
        <v>403</v>
      </c>
      <c r="F20" s="21" t="s">
        <v>404</v>
      </c>
      <c r="G20" s="21" t="s">
        <v>419</v>
      </c>
      <c r="H20" s="2"/>
    </row>
    <row r="21" customFormat="false" ht="15" hidden="false" customHeight="false" outlineLevel="0" collapsed="false">
      <c r="A21" s="2" t="str">
        <f aca="false">INDEX($A$9:$A$16,MATCH(LARGE($H$9:$H$16,1),$H$9:$H$16,0))</f>
        <v>Freight rate (market)</v>
      </c>
      <c r="B21" s="67" t="n">
        <f aca="false">INDEX($E$9:$E$16,MATCH(LARGE($H$9:$H$16,1),$H$9:$H$16,0))-$B$5</f>
        <v>-4040.86776611695</v>
      </c>
      <c r="C21" s="67" t="n">
        <f aca="false">INDEX($F$9:$F$16,MATCH(LARGE($H$9:$H$16,1),$H$9:$H$16,0))-$B$5</f>
        <v>11224.6326836582</v>
      </c>
      <c r="D21" s="67" t="n">
        <f aca="false">INDEX($G$9:$G$16,MATCH(LARGE($H$9:$H$16,1),$H$9:$H$16,0))</f>
        <v>15265.5004497751</v>
      </c>
      <c r="E21" s="91" t="n">
        <f aca="false">INDEX($B$9:$B$16,MATCH(LARGE($H$9:$H$16,1),$H$9:$H$16,0))</f>
        <v>0.91</v>
      </c>
      <c r="F21" s="91" t="n">
        <f aca="false">INDEX($C$9:$C$16,MATCH(LARGE($H$9:$H$16,1),$H$9:$H$16,0))</f>
        <v>1.25</v>
      </c>
      <c r="G21" s="2" t="n">
        <v>1</v>
      </c>
      <c r="H21" s="2"/>
    </row>
    <row r="22" customFormat="false" ht="15" hidden="false" customHeight="false" outlineLevel="0" collapsed="false">
      <c r="A22" s="2" t="str">
        <f aca="false">INDEX($A$9:$A$16,MATCH(LARGE($H$9:$H$16,2),$H$9:$H$16,0))</f>
        <v>Backhaul utilization</v>
      </c>
      <c r="B22" s="67" t="n">
        <f aca="false">INDEX($E$9:$E$16,MATCH(LARGE($H$9:$H$16,2),$H$9:$H$16,0))-$B$5</f>
        <v>-6629.53255772114</v>
      </c>
      <c r="C22" s="67" t="n">
        <f aca="false">INDEX($F$9:$F$16,MATCH(LARGE($H$9:$H$16,2),$H$9:$H$16,0))-$B$5</f>
        <v>6629.53255772113</v>
      </c>
      <c r="D22" s="67" t="n">
        <f aca="false">INDEX($G$9:$G$16,MATCH(LARGE($H$9:$H$16,2),$H$9:$H$16,0))</f>
        <v>13259.0651154423</v>
      </c>
      <c r="E22" s="91" t="n">
        <f aca="false">INDEX($B$9:$B$16,MATCH(LARGE($H$9:$H$16,2),$H$9:$H$16,0))</f>
        <v>0.25</v>
      </c>
      <c r="F22" s="91" t="n">
        <f aca="false">INDEX($C$9:$C$16,MATCH(LARGE($H$9:$H$16,2),$H$9:$H$16,0))</f>
        <v>0.75</v>
      </c>
      <c r="G22" s="2" t="n">
        <v>2</v>
      </c>
      <c r="H22" s="2"/>
    </row>
    <row r="23" customFormat="false" ht="15" hidden="false" customHeight="false" outlineLevel="0" collapsed="false">
      <c r="A23" s="2" t="str">
        <f aca="false">INDEX($A$9:$A$16,MATCH(LARGE($H$9:$H$16,3),$H$9:$H$16,0))</f>
        <v>Port time (congestion)</v>
      </c>
      <c r="B23" s="67" t="n">
        <f aca="false">INDEX($E$9:$E$16,MATCH(LARGE($H$9:$H$16,3),$H$9:$H$16,0))-$B$5</f>
        <v>2931.0147968524</v>
      </c>
      <c r="C23" s="67" t="n">
        <f aca="false">INDEX($F$9:$F$16,MATCH(LARGE($H$9:$H$16,3),$H$9:$H$16,0))-$B$5</f>
        <v>-6268.80534675223</v>
      </c>
      <c r="D23" s="67" t="n">
        <f aca="false">INDEX($G$9:$G$16,MATCH(LARGE($H$9:$H$16,3),$H$9:$H$16,0))</f>
        <v>9199.82014360463</v>
      </c>
      <c r="E23" s="91" t="n">
        <f aca="false">INDEX($B$9:$B$16,MATCH(LARGE($H$9:$H$16,3),$H$9:$H$16,0))</f>
        <v>0.75</v>
      </c>
      <c r="F23" s="91" t="n">
        <f aca="false">INDEX($C$9:$C$16,MATCH(LARGE($H$9:$H$16,3),$H$9:$H$16,0))</f>
        <v>1.75</v>
      </c>
      <c r="G23" s="2" t="n">
        <v>3</v>
      </c>
      <c r="H23" s="2"/>
    </row>
    <row r="24" customFormat="false" ht="15" hidden="false" customHeight="false" outlineLevel="0" collapsed="false">
      <c r="A24" s="2" t="str">
        <f aca="false">INDEX($A$9:$A$16,MATCH(LARGE($H$9:$H$16,4),$H$9:$H$16,0))</f>
        <v>Fronthaul utilization</v>
      </c>
      <c r="B24" s="67" t="n">
        <f aca="false">INDEX($E$9:$E$16,MATCH(LARGE($H$9:$H$16,4),$H$9:$H$16,0))-$B$5</f>
        <v>-5469.60109385308</v>
      </c>
      <c r="C24" s="67" t="n">
        <f aca="false">INDEX($F$9:$F$16,MATCH(LARGE($H$9:$H$16,4),$H$9:$H$16,0))-$B$5</f>
        <v>3684.55347213193</v>
      </c>
      <c r="D24" s="67" t="n">
        <f aca="false">INDEX($G$9:$G$16,MATCH(LARGE($H$9:$H$16,4),$H$9:$H$16,0))</f>
        <v>9154.15456598501</v>
      </c>
      <c r="E24" s="91" t="n">
        <f aca="false">INDEX($B$9:$B$16,MATCH(LARGE($H$9:$H$16,4),$H$9:$H$16,0))</f>
        <v>0.7</v>
      </c>
      <c r="F24" s="91" t="n">
        <f aca="false">INDEX($C$9:$C$16,MATCH(LARGE($H$9:$H$16,4),$H$9:$H$16,0))</f>
        <v>0.95</v>
      </c>
      <c r="G24" s="2" t="n">
        <v>4</v>
      </c>
      <c r="H24" s="2"/>
    </row>
    <row r="25" customFormat="false" ht="15" hidden="false" customHeight="false" outlineLevel="0" collapsed="false">
      <c r="A25" s="2" t="str">
        <f aca="false">INDEX($A$9:$A$16,MATCH(LARGE($H$9:$H$16,5),$H$9:$H$16,0))</f>
        <v>Bunker price (Brent)</v>
      </c>
      <c r="B25" s="67" t="n">
        <f aca="false">INDEX($E$9:$E$16,MATCH(LARGE($H$9:$H$16,5),$H$9:$H$16,0))-$B$5</f>
        <v>2258.77531034482</v>
      </c>
      <c r="C25" s="67" t="n">
        <f aca="false">INDEX($F$9:$F$16,MATCH(LARGE($H$9:$H$16,5),$H$9:$H$16,0))-$B$5</f>
        <v>-3675.54100749626</v>
      </c>
      <c r="D25" s="67" t="n">
        <f aca="false">INDEX($G$9:$G$16,MATCH(LARGE($H$9:$H$16,5),$H$9:$H$16,0))</f>
        <v>5934.31631784108</v>
      </c>
      <c r="E25" s="91" t="n">
        <f aca="false">INDEX($B$9:$B$16,MATCH(LARGE($H$9:$H$16,5),$H$9:$H$16,0))</f>
        <v>67.98</v>
      </c>
      <c r="F25" s="91" t="n">
        <f aca="false">INDEX($C$9:$C$16,MATCH(LARGE($H$9:$H$16,5),$H$9:$H$16,0))</f>
        <v>104.84</v>
      </c>
      <c r="G25" s="2" t="n">
        <v>5</v>
      </c>
      <c r="H25" s="2"/>
    </row>
    <row r="26" customFormat="false" ht="15" hidden="false" customHeight="false" outlineLevel="0" collapsed="false">
      <c r="A26" s="2" t="str">
        <f aca="false">INDEX($A$9:$A$16,MATCH(LARGE($H$9:$H$16,6),$H$9:$H$16,0))</f>
        <v>Port disbursements</v>
      </c>
      <c r="B26" s="67" t="n">
        <f aca="false">INDEX($E$9:$E$16,MATCH(LARGE($H$9:$H$16,6),$H$9:$H$16,0))-$B$5</f>
        <v>1276.65173523238</v>
      </c>
      <c r="C26" s="67" t="n">
        <f aca="false">INDEX($F$9:$F$16,MATCH(LARGE($H$9:$H$16,6),$H$9:$H$16,0))-$B$5</f>
        <v>-1276.65173523239</v>
      </c>
      <c r="D26" s="67" t="n">
        <f aca="false">INDEX($G$9:$G$16,MATCH(LARGE($H$9:$H$16,6),$H$9:$H$16,0))</f>
        <v>2553.30347046477</v>
      </c>
      <c r="E26" s="91" t="n">
        <f aca="false">INDEX($B$9:$B$16,MATCH(LARGE($H$9:$H$16,6),$H$9:$H$16,0))</f>
        <v>0.75</v>
      </c>
      <c r="F26" s="91" t="n">
        <f aca="false">INDEX($C$9:$C$16,MATCH(LARGE($H$9:$H$16,6),$H$9:$H$16,0))</f>
        <v>1.25</v>
      </c>
      <c r="G26" s="2" t="n">
        <v>6</v>
      </c>
      <c r="H26" s="2"/>
    </row>
    <row r="27" customFormat="false" ht="15" hidden="false" customHeight="false" outlineLevel="0" collapsed="false">
      <c r="A27" s="2" t="str">
        <f aca="false">INDEX($A$9:$A$16,MATCH(LARGE($H$9:$H$16,7),$H$9:$H$16,0))</f>
        <v>Service speed</v>
      </c>
      <c r="B27" s="67" t="n">
        <f aca="false">INDEX($E$9:$E$16,MATCH(LARGE($H$9:$H$16,7),$H$9:$H$16,0))-$B$5</f>
        <v>899.093276438249</v>
      </c>
      <c r="C27" s="67" t="n">
        <f aca="false">INDEX($F$9:$F$16,MATCH(LARGE($H$9:$H$16,7),$H$9:$H$16,0))-$B$5</f>
        <v>-1110.87109475025</v>
      </c>
      <c r="D27" s="67" t="n">
        <f aca="false">INDEX($G$9:$G$16,MATCH(LARGE($H$9:$H$16,7),$H$9:$H$16,0))</f>
        <v>2009.9643711885</v>
      </c>
      <c r="E27" s="91" t="n">
        <f aca="false">INDEX($B$9:$B$16,MATCH(LARGE($H$9:$H$16,7),$H$9:$H$16,0))</f>
        <v>12</v>
      </c>
      <c r="F27" s="91" t="n">
        <f aca="false">INDEX($C$9:$C$16,MATCH(LARGE($H$9:$H$16,7),$H$9:$H$16,0))</f>
        <v>14.5</v>
      </c>
      <c r="G27" s="2" t="n">
        <v>7</v>
      </c>
      <c r="H27" s="2"/>
    </row>
    <row r="28" customFormat="false" ht="15" hidden="false" customHeight="false" outlineLevel="0" collapsed="false">
      <c r="A28" s="2" t="str">
        <f aca="false">INDEX($A$9:$A$16,MATCH(LARGE($H$9:$H$16,8),$H$9:$H$16,0))</f>
        <v>EU carbon price (EUA)</v>
      </c>
      <c r="B28" s="67" t="n">
        <f aca="false">INDEX($E$9:$E$16,MATCH(LARGE($H$9:$H$16,8),$H$9:$H$16,0))-$B$5</f>
        <v>836.152682721138</v>
      </c>
      <c r="C28" s="67" t="n">
        <f aca="false">INDEX($F$9:$F$16,MATCH(LARGE($H$9:$H$16,8),$H$9:$H$16,0))-$B$5</f>
        <v>-1170.6137558096</v>
      </c>
      <c r="D28" s="67" t="n">
        <f aca="false">INDEX($G$9:$G$16,MATCH(LARGE($H$9:$H$16,8),$H$9:$H$16,0))</f>
        <v>2006.76643853074</v>
      </c>
      <c r="E28" s="91" t="n">
        <f aca="false">INDEX($B$9:$B$16,MATCH(LARGE($H$9:$H$16,8),$H$9:$H$16,0))</f>
        <v>50</v>
      </c>
      <c r="F28" s="91" t="n">
        <f aca="false">INDEX($C$9:$C$16,MATCH(LARGE($H$9:$H$16,8),$H$9:$H$16,0))</f>
        <v>110</v>
      </c>
      <c r="G28" s="2" t="n">
        <v>8</v>
      </c>
      <c r="H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</row>
    <row r="32" customFormat="false" ht="15" hidden="false" customHeight="false" outlineLevel="0" collapsed="false">
      <c r="A32" s="7" t="s">
        <v>420</v>
      </c>
      <c r="B32" s="2"/>
      <c r="C32" s="2"/>
      <c r="D32" s="2"/>
      <c r="E32" s="2"/>
      <c r="F32" s="2"/>
      <c r="G32" s="2"/>
      <c r="H32" s="2"/>
    </row>
    <row r="33" customFormat="false" ht="26.85" hidden="false" customHeight="false" outlineLevel="0" collapsed="false">
      <c r="A33" s="21" t="s">
        <v>83</v>
      </c>
      <c r="B33" s="21" t="s">
        <v>421</v>
      </c>
      <c r="C33" s="21" t="s">
        <v>422</v>
      </c>
      <c r="D33" s="21" t="s">
        <v>423</v>
      </c>
      <c r="E33" s="21" t="s">
        <v>424</v>
      </c>
      <c r="F33" s="2"/>
      <c r="G33" s="2"/>
      <c r="H33" s="2"/>
    </row>
    <row r="34" customFormat="false" ht="15" hidden="false" customHeight="false" outlineLevel="0" collapsed="false">
      <c r="A34" s="2" t="s">
        <v>425</v>
      </c>
      <c r="B34" s="91" t="n">
        <f aca="false">FreightMult</f>
        <v>1</v>
      </c>
      <c r="C34" s="91" t="n">
        <f aca="false">Engine!E27</f>
        <v>1.1</v>
      </c>
      <c r="D34" s="67" t="n">
        <f aca="false">Engine!AK27-$B$5</f>
        <v>4489.85307346327</v>
      </c>
      <c r="E34" s="67" t="n">
        <f aca="false">D34/10</f>
        <v>448.985307346327</v>
      </c>
      <c r="F34" s="2"/>
      <c r="G34" s="2"/>
      <c r="H34" s="2"/>
    </row>
    <row r="35" customFormat="false" ht="15" hidden="false" customHeight="false" outlineLevel="0" collapsed="false">
      <c r="A35" s="2" t="s">
        <v>426</v>
      </c>
      <c r="B35" s="91" t="n">
        <f aca="false">Brent</f>
        <v>82.01</v>
      </c>
      <c r="C35" s="91" t="n">
        <f aca="false">Engine!D28</f>
        <v>90.211</v>
      </c>
      <c r="D35" s="67" t="n">
        <f aca="false">Engine!AK28-$B$5</f>
        <v>-1320.32903208397</v>
      </c>
      <c r="E35" s="67" t="n">
        <f aca="false">D35/10</f>
        <v>-132.032903208397</v>
      </c>
      <c r="F35" s="2"/>
      <c r="G35" s="2"/>
      <c r="H35" s="2"/>
    </row>
    <row r="36" customFormat="false" ht="15" hidden="false" customHeight="false" outlineLevel="0" collapsed="false">
      <c r="A36" s="2" t="s">
        <v>427</v>
      </c>
      <c r="B36" s="91" t="n">
        <f aca="false">PortMult</f>
        <v>1</v>
      </c>
      <c r="C36" s="91" t="n">
        <f aca="false">Engine!F29</f>
        <v>1.1</v>
      </c>
      <c r="D36" s="67" t="n">
        <f aca="false">Engine!AK29-$B$5</f>
        <v>-1024.03652179501</v>
      </c>
      <c r="E36" s="67" t="n">
        <f aca="false">D36/10</f>
        <v>-102.403652179501</v>
      </c>
      <c r="F36" s="2"/>
      <c r="G36" s="2"/>
      <c r="H36" s="2"/>
    </row>
    <row r="37" customFormat="false" ht="15" hidden="false" customHeight="false" outlineLevel="0" collapsed="false">
      <c r="A37" s="2" t="s">
        <v>92</v>
      </c>
      <c r="B37" s="91" t="n">
        <f aca="false">UtilFH</f>
        <v>0.85</v>
      </c>
      <c r="C37" s="91" t="n">
        <f aca="false">Engine!G30</f>
        <v>0.935</v>
      </c>
      <c r="D37" s="67" t="n">
        <f aca="false">Engine!AK30-$B$5</f>
        <v>3130.42603585007</v>
      </c>
      <c r="E37" s="67" t="n">
        <f aca="false">D37/10</f>
        <v>313.042603585007</v>
      </c>
      <c r="F37" s="2"/>
      <c r="G37" s="2"/>
      <c r="H37" s="2"/>
    </row>
    <row r="38" customFormat="false" ht="15" hidden="false" customHeight="false" outlineLevel="0" collapsed="false">
      <c r="A38" s="2" t="s">
        <v>94</v>
      </c>
      <c r="B38" s="91" t="n">
        <f aca="false">UtilBH</f>
        <v>0.5</v>
      </c>
      <c r="C38" s="91" t="n">
        <f aca="false">Engine!H31</f>
        <v>0.55</v>
      </c>
      <c r="D38" s="67" t="n">
        <f aca="false">Engine!AK31-$B$5</f>
        <v>1325.90651154422</v>
      </c>
      <c r="E38" s="67" t="n">
        <f aca="false">D38/10</f>
        <v>132.590651154422</v>
      </c>
      <c r="F38" s="2"/>
      <c r="G38" s="2"/>
      <c r="H38" s="2"/>
    </row>
    <row r="39" customFormat="false" ht="15" hidden="false" customHeight="false" outlineLevel="0" collapsed="false">
      <c r="A39" s="2" t="s">
        <v>412</v>
      </c>
      <c r="B39" s="91" t="n">
        <f aca="false">Speed</f>
        <v>13.5</v>
      </c>
      <c r="C39" s="91" t="n">
        <f aca="false">Engine!I32</f>
        <v>14.85</v>
      </c>
      <c r="D39" s="67" t="n">
        <f aca="false">Engine!AK32-$B$5</f>
        <v>-1596.88199374135</v>
      </c>
      <c r="E39" s="67" t="n">
        <f aca="false">D39/10</f>
        <v>-159.688199374135</v>
      </c>
      <c r="F39" s="2"/>
      <c r="G39" s="2"/>
      <c r="H39" s="2"/>
    </row>
    <row r="40" customFormat="false" ht="15" hidden="false" customHeight="false" outlineLevel="0" collapsed="false">
      <c r="A40" s="2" t="s">
        <v>375</v>
      </c>
      <c r="B40" s="91" t="n">
        <f aca="false">PortCostMult</f>
        <v>1</v>
      </c>
      <c r="C40" s="91" t="n">
        <f aca="false">Engine!J33</f>
        <v>1.1</v>
      </c>
      <c r="D40" s="67" t="n">
        <f aca="false">Engine!AK33-$B$5</f>
        <v>-510.66069409296</v>
      </c>
      <c r="E40" s="67" t="n">
        <f aca="false">D40/10</f>
        <v>-51.066069409296</v>
      </c>
      <c r="F40" s="2"/>
      <c r="G40" s="2"/>
      <c r="H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</row>
    <row r="43" customFormat="false" ht="15" hidden="false" customHeight="true" outlineLevel="0" collapsed="false">
      <c r="A43" s="19" t="s">
        <v>428</v>
      </c>
      <c r="B43" s="19"/>
      <c r="C43" s="19"/>
      <c r="D43" s="19"/>
      <c r="E43" s="19"/>
      <c r="F43" s="19"/>
      <c r="G43" s="19"/>
      <c r="H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</row>
    <row r="45" customFormat="false" ht="15" hidden="false" customHeight="false" outlineLevel="0" collapsed="false">
      <c r="A45" s="19"/>
      <c r="B45" s="19"/>
      <c r="C45" s="19"/>
      <c r="D45" s="19"/>
      <c r="E45" s="19"/>
      <c r="F45" s="19"/>
      <c r="G45" s="19"/>
      <c r="H45" s="19"/>
    </row>
    <row r="46" customFormat="false" ht="15" hidden="false" customHeight="false" outlineLevel="0" collapsed="false">
      <c r="A46" s="19"/>
      <c r="B46" s="19"/>
      <c r="C46" s="19"/>
      <c r="D46" s="19"/>
      <c r="E46" s="19"/>
      <c r="F46" s="19"/>
      <c r="G46" s="19"/>
      <c r="H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</row>
  </sheetData>
  <mergeCells count="1">
    <mergeCell ref="A43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5" min="2" style="0" width="12"/>
  </cols>
  <sheetData>
    <row r="1" customFormat="false" ht="19.7" hidden="false" customHeight="false" outlineLevel="0" collapsed="false">
      <c r="A1" s="1" t="s">
        <v>429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0" t="s">
        <v>430</v>
      </c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7" t="s">
        <v>431</v>
      </c>
      <c r="B5" s="2"/>
      <c r="C5" s="2"/>
      <c r="D5" s="2"/>
      <c r="E5" s="2"/>
      <c r="F5" s="2"/>
      <c r="G5" s="2"/>
      <c r="H5" s="2"/>
      <c r="I5" s="2"/>
    </row>
    <row r="6" customFormat="false" ht="26.85" hidden="false" customHeight="false" outlineLevel="0" collapsed="false">
      <c r="A6" s="21" t="s">
        <v>432</v>
      </c>
      <c r="B6" s="21" t="s">
        <v>433</v>
      </c>
      <c r="C6" s="21" t="s">
        <v>434</v>
      </c>
      <c r="D6" s="21" t="s">
        <v>435</v>
      </c>
      <c r="E6" s="2"/>
      <c r="F6" s="2"/>
      <c r="G6" s="2"/>
      <c r="H6" s="2"/>
      <c r="I6" s="2"/>
    </row>
    <row r="7" customFormat="false" ht="15" hidden="false" customHeight="false" outlineLevel="0" collapsed="false">
      <c r="A7" s="13" t="n">
        <v>50</v>
      </c>
      <c r="B7" s="82" t="n">
        <f aca="false">Engine!AM42</f>
        <v>34.2347562152952</v>
      </c>
      <c r="C7" s="82" t="n">
        <f aca="false">Engine!AM51</f>
        <v>40.8528824093626</v>
      </c>
      <c r="D7" s="82" t="n">
        <f aca="false">Engine!AM60</f>
        <v>47.357986984526</v>
      </c>
      <c r="E7" s="2"/>
      <c r="F7" s="2"/>
      <c r="G7" s="2"/>
      <c r="H7" s="2"/>
      <c r="I7" s="2"/>
    </row>
    <row r="8" customFormat="false" ht="15" hidden="false" customHeight="false" outlineLevel="0" collapsed="false">
      <c r="A8" s="13" t="n">
        <v>60</v>
      </c>
      <c r="B8" s="82" t="n">
        <f aca="false">Engine!AM43</f>
        <v>36.9008865990727</v>
      </c>
      <c r="C8" s="82" t="n">
        <f aca="false">Engine!AM52</f>
        <v>43.684824758952</v>
      </c>
      <c r="D8" s="82" t="n">
        <f aca="false">Engine!AM61</f>
        <v>50.3557412999274</v>
      </c>
      <c r="E8" s="2"/>
      <c r="F8" s="2"/>
      <c r="G8" s="2"/>
      <c r="H8" s="2"/>
      <c r="I8" s="2"/>
    </row>
    <row r="9" customFormat="false" ht="15" hidden="false" customHeight="false" outlineLevel="0" collapsed="false">
      <c r="A9" s="13" t="n">
        <v>70</v>
      </c>
      <c r="B9" s="82" t="n">
        <f aca="false">Engine!AM44</f>
        <v>39.5670169828501</v>
      </c>
      <c r="C9" s="82" t="n">
        <f aca="false">Engine!AM53</f>
        <v>46.5167671085414</v>
      </c>
      <c r="D9" s="82" t="n">
        <f aca="false">Engine!AM62</f>
        <v>53.3534956153287</v>
      </c>
      <c r="E9" s="2"/>
      <c r="F9" s="2"/>
      <c r="G9" s="2"/>
      <c r="H9" s="2"/>
      <c r="I9" s="2"/>
    </row>
    <row r="10" customFormat="false" ht="15" hidden="false" customHeight="false" outlineLevel="0" collapsed="false">
      <c r="A10" s="13" t="n">
        <v>80</v>
      </c>
      <c r="B10" s="82" t="n">
        <f aca="false">Engine!AM45</f>
        <v>42.2331473666276</v>
      </c>
      <c r="C10" s="82" t="n">
        <f aca="false">Engine!AM54</f>
        <v>49.3487094581308</v>
      </c>
      <c r="D10" s="82" t="n">
        <f aca="false">Engine!AM63</f>
        <v>56.3512499307301</v>
      </c>
      <c r="E10" s="2"/>
      <c r="F10" s="2"/>
      <c r="G10" s="2"/>
      <c r="H10" s="2"/>
      <c r="I10" s="2"/>
    </row>
    <row r="11" customFormat="false" ht="15" hidden="false" customHeight="false" outlineLevel="0" collapsed="false">
      <c r="A11" s="13" t="n">
        <v>90</v>
      </c>
      <c r="B11" s="82" t="n">
        <f aca="false">Engine!AM46</f>
        <v>44.899277750405</v>
      </c>
      <c r="C11" s="82" t="n">
        <f aca="false">Engine!AM55</f>
        <v>52.1806518077202</v>
      </c>
      <c r="D11" s="82" t="n">
        <f aca="false">Engine!AM64</f>
        <v>59.3490042461315</v>
      </c>
      <c r="E11" s="2"/>
      <c r="F11" s="2"/>
      <c r="G11" s="2"/>
      <c r="H11" s="2"/>
      <c r="I11" s="2"/>
    </row>
    <row r="12" customFormat="false" ht="15" hidden="false" customHeight="false" outlineLevel="0" collapsed="false">
      <c r="A12" s="13" t="n">
        <v>100</v>
      </c>
      <c r="B12" s="82" t="n">
        <f aca="false">Engine!AM47</f>
        <v>47.5654081341824</v>
      </c>
      <c r="C12" s="82" t="n">
        <f aca="false">Engine!AM56</f>
        <v>55.0125941573096</v>
      </c>
      <c r="D12" s="82" t="n">
        <f aca="false">Engine!AM65</f>
        <v>62.3467585615329</v>
      </c>
      <c r="E12" s="2"/>
      <c r="F12" s="2"/>
      <c r="G12" s="2"/>
      <c r="H12" s="2"/>
      <c r="I12" s="2"/>
    </row>
    <row r="13" customFormat="false" ht="15" hidden="false" customHeight="false" outlineLevel="0" collapsed="false">
      <c r="A13" s="13" t="n">
        <v>110</v>
      </c>
      <c r="B13" s="82" t="n">
        <f aca="false">Engine!AM48</f>
        <v>50.2315385179599</v>
      </c>
      <c r="C13" s="82" t="n">
        <f aca="false">Engine!AM57</f>
        <v>57.8445365068991</v>
      </c>
      <c r="D13" s="82" t="n">
        <f aca="false">Engine!AM66</f>
        <v>65.3445128769343</v>
      </c>
      <c r="E13" s="2"/>
      <c r="F13" s="2"/>
      <c r="G13" s="2"/>
      <c r="H13" s="2"/>
      <c r="I13" s="2"/>
    </row>
    <row r="14" customFormat="false" ht="15" hidden="false" customHeight="false" outlineLevel="0" collapsed="false">
      <c r="A14" s="13" t="n">
        <v>120</v>
      </c>
      <c r="B14" s="82" t="n">
        <f aca="false">Engine!AM49</f>
        <v>52.8976689017373</v>
      </c>
      <c r="C14" s="82" t="n">
        <f aca="false">Engine!AM58</f>
        <v>60.6764788564885</v>
      </c>
      <c r="D14" s="82" t="n">
        <f aca="false">Engine!AM67</f>
        <v>68.3422671923356</v>
      </c>
      <c r="E14" s="2"/>
      <c r="F14" s="2"/>
      <c r="G14" s="2"/>
      <c r="H14" s="2"/>
      <c r="I14" s="2"/>
    </row>
    <row r="15" customFormat="false" ht="15" hidden="false" customHeight="false" outlineLevel="0" collapsed="false">
      <c r="A15" s="13" t="n">
        <v>130</v>
      </c>
      <c r="B15" s="82" t="n">
        <f aca="false">Engine!AM50</f>
        <v>55.5637992855148</v>
      </c>
      <c r="C15" s="82" t="n">
        <f aca="false">Engine!AM59</f>
        <v>63.5084212060779</v>
      </c>
      <c r="D15" s="82" t="n">
        <f aca="false">Engine!AM68</f>
        <v>71.340021507737</v>
      </c>
      <c r="E15" s="2"/>
      <c r="F15" s="2"/>
      <c r="G15" s="2"/>
      <c r="H15" s="2"/>
      <c r="I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5" hidden="false" customHeight="false" outlineLevel="0" collapsed="false">
      <c r="A19" s="7" t="s">
        <v>436</v>
      </c>
      <c r="B19" s="2"/>
      <c r="C19" s="2"/>
      <c r="D19" s="2"/>
      <c r="E19" s="2"/>
      <c r="F19" s="2"/>
      <c r="G19" s="2"/>
      <c r="H19" s="2"/>
      <c r="I19" s="2"/>
    </row>
    <row r="20" customFormat="false" ht="26.85" hidden="false" customHeight="false" outlineLevel="0" collapsed="false">
      <c r="A20" s="21" t="s">
        <v>432</v>
      </c>
      <c r="B20" s="21" t="s">
        <v>437</v>
      </c>
      <c r="C20" s="21" t="s">
        <v>438</v>
      </c>
      <c r="D20" s="21" t="s">
        <v>439</v>
      </c>
      <c r="E20" s="2"/>
      <c r="F20" s="2"/>
      <c r="G20" s="2"/>
      <c r="H20" s="2"/>
      <c r="I20" s="2"/>
    </row>
    <row r="21" customFormat="false" ht="15" hidden="false" customHeight="false" outlineLevel="0" collapsed="false">
      <c r="A21" s="13" t="n">
        <v>50</v>
      </c>
      <c r="B21" s="82" t="n">
        <f aca="false">Engine!AM69</f>
        <v>41.4266488108805</v>
      </c>
      <c r="C21" s="82" t="n">
        <f aca="false">Engine!AM78</f>
        <v>34.2347562152952</v>
      </c>
      <c r="D21" s="82" t="n">
        <f aca="false">Engine!AM87</f>
        <v>30.645365637167</v>
      </c>
      <c r="E21" s="2"/>
      <c r="F21" s="2"/>
      <c r="G21" s="2"/>
      <c r="H21" s="2"/>
      <c r="I21" s="2"/>
    </row>
    <row r="22" customFormat="false" ht="15" hidden="false" customHeight="false" outlineLevel="0" collapsed="false">
      <c r="A22" s="13" t="n">
        <v>60</v>
      </c>
      <c r="B22" s="82" t="n">
        <f aca="false">Engine!AM70</f>
        <v>44.6640928483245</v>
      </c>
      <c r="C22" s="82" t="n">
        <f aca="false">Engine!AM79</f>
        <v>36.9008865990727</v>
      </c>
      <c r="D22" s="82" t="n">
        <f aca="false">Engine!AM88</f>
        <v>33.0308507173889</v>
      </c>
      <c r="E22" s="2"/>
      <c r="F22" s="2"/>
      <c r="G22" s="2"/>
      <c r="H22" s="2"/>
      <c r="I22" s="2"/>
    </row>
    <row r="23" customFormat="false" ht="15" hidden="false" customHeight="false" outlineLevel="0" collapsed="false">
      <c r="A23" s="13" t="n">
        <v>70</v>
      </c>
      <c r="B23" s="82" t="n">
        <f aca="false">Engine!AM71</f>
        <v>47.9015368857686</v>
      </c>
      <c r="C23" s="82" t="n">
        <f aca="false">Engine!AM80</f>
        <v>39.5670169828501</v>
      </c>
      <c r="D23" s="82" t="n">
        <f aca="false">Engine!AM89</f>
        <v>35.4163357976108</v>
      </c>
      <c r="E23" s="2"/>
      <c r="F23" s="2"/>
      <c r="G23" s="2"/>
      <c r="H23" s="2"/>
      <c r="I23" s="2"/>
    </row>
    <row r="24" customFormat="false" ht="15" hidden="false" customHeight="false" outlineLevel="0" collapsed="false">
      <c r="A24" s="13" t="n">
        <v>80</v>
      </c>
      <c r="B24" s="82" t="n">
        <f aca="false">Engine!AM72</f>
        <v>51.1389809232126</v>
      </c>
      <c r="C24" s="82" t="n">
        <f aca="false">Engine!AM81</f>
        <v>42.2331473666276</v>
      </c>
      <c r="D24" s="82" t="n">
        <f aca="false">Engine!AM90</f>
        <v>37.8018208778328</v>
      </c>
      <c r="E24" s="2"/>
      <c r="F24" s="2"/>
      <c r="G24" s="2"/>
      <c r="H24" s="2"/>
      <c r="I24" s="2"/>
    </row>
    <row r="25" customFormat="false" ht="15" hidden="false" customHeight="false" outlineLevel="0" collapsed="false">
      <c r="A25" s="13" t="n">
        <v>90</v>
      </c>
      <c r="B25" s="82" t="n">
        <f aca="false">Engine!AM73</f>
        <v>54.3764249606566</v>
      </c>
      <c r="C25" s="82" t="n">
        <f aca="false">Engine!AM82</f>
        <v>44.899277750405</v>
      </c>
      <c r="D25" s="82" t="n">
        <f aca="false">Engine!AM91</f>
        <v>40.1873059580547</v>
      </c>
      <c r="E25" s="2"/>
      <c r="F25" s="2"/>
      <c r="G25" s="2"/>
      <c r="H25" s="2"/>
      <c r="I25" s="2"/>
    </row>
    <row r="26" customFormat="false" ht="15" hidden="false" customHeight="false" outlineLevel="0" collapsed="false">
      <c r="A26" s="13" t="n">
        <v>100</v>
      </c>
      <c r="B26" s="82" t="n">
        <f aca="false">Engine!AM74</f>
        <v>57.6138689981007</v>
      </c>
      <c r="C26" s="82" t="n">
        <f aca="false">Engine!AM83</f>
        <v>47.5654081341824</v>
      </c>
      <c r="D26" s="82" t="n">
        <f aca="false">Engine!AM92</f>
        <v>42.5727910382766</v>
      </c>
      <c r="E26" s="2"/>
      <c r="F26" s="2"/>
      <c r="G26" s="2"/>
      <c r="H26" s="2"/>
      <c r="I26" s="2"/>
    </row>
    <row r="27" customFormat="false" ht="15" hidden="false" customHeight="false" outlineLevel="0" collapsed="false">
      <c r="A27" s="13" t="n">
        <v>110</v>
      </c>
      <c r="B27" s="82" t="n">
        <f aca="false">Engine!AM75</f>
        <v>60.8513130355447</v>
      </c>
      <c r="C27" s="82" t="n">
        <f aca="false">Engine!AM84</f>
        <v>50.2315385179599</v>
      </c>
      <c r="D27" s="82" t="n">
        <f aca="false">Engine!AM93</f>
        <v>44.9582761184985</v>
      </c>
      <c r="E27" s="2"/>
      <c r="F27" s="2"/>
      <c r="G27" s="2"/>
      <c r="H27" s="2"/>
      <c r="I27" s="2"/>
    </row>
    <row r="28" customFormat="false" ht="15" hidden="false" customHeight="false" outlineLevel="0" collapsed="false">
      <c r="A28" s="13" t="n">
        <v>120</v>
      </c>
      <c r="B28" s="82" t="n">
        <f aca="false">Engine!AM76</f>
        <v>64.0887570729887</v>
      </c>
      <c r="C28" s="82" t="n">
        <f aca="false">Engine!AM85</f>
        <v>52.8976689017373</v>
      </c>
      <c r="D28" s="82" t="n">
        <f aca="false">Engine!AM94</f>
        <v>47.3437611987204</v>
      </c>
      <c r="E28" s="2"/>
      <c r="F28" s="2"/>
      <c r="G28" s="2"/>
      <c r="H28" s="2"/>
      <c r="I28" s="2"/>
    </row>
    <row r="29" customFormat="false" ht="15" hidden="false" customHeight="false" outlineLevel="0" collapsed="false">
      <c r="A29" s="13" t="n">
        <v>130</v>
      </c>
      <c r="B29" s="82" t="n">
        <f aca="false">Engine!AM77</f>
        <v>67.3262011104328</v>
      </c>
      <c r="C29" s="82" t="n">
        <f aca="false">Engine!AM86</f>
        <v>55.5637992855148</v>
      </c>
      <c r="D29" s="82" t="n">
        <f aca="false">Engine!AM95</f>
        <v>49.7292462789424</v>
      </c>
      <c r="E29" s="2"/>
      <c r="F29" s="2"/>
      <c r="G29" s="2"/>
      <c r="H29" s="2"/>
      <c r="I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15" hidden="false" customHeight="false" outlineLevel="0" collapsed="false">
      <c r="A33" s="7" t="s">
        <v>440</v>
      </c>
      <c r="B33" s="2"/>
      <c r="C33" s="2"/>
      <c r="D33" s="2"/>
      <c r="E33" s="2"/>
      <c r="F33" s="2"/>
      <c r="G33" s="2"/>
      <c r="H33" s="2"/>
      <c r="I33" s="2"/>
    </row>
    <row r="34" customFormat="false" ht="39.55" hidden="false" customHeight="false" outlineLevel="0" collapsed="false">
      <c r="A34" s="21" t="s">
        <v>432</v>
      </c>
      <c r="B34" s="21" t="str">
        <f aca="false">Routes!B6</f>
        <v>USG-ARA transatlantic</v>
      </c>
      <c r="C34" s="21" t="str">
        <f aca="false">Routes!B7</f>
        <v>USG-Far East via Panama</v>
      </c>
      <c r="D34" s="21" t="str">
        <f aca="false">Routes!B8</f>
        <v>ARA-India WC via Suez</v>
      </c>
      <c r="E34" s="21" t="str">
        <f aca="false">Routes!B9</f>
        <v>ARA-India WC via Cape</v>
      </c>
      <c r="F34" s="21" t="s">
        <v>441</v>
      </c>
      <c r="G34" s="21" t="s">
        <v>442</v>
      </c>
      <c r="H34" s="21" t="s">
        <v>443</v>
      </c>
      <c r="I34" s="21" t="s">
        <v>444</v>
      </c>
    </row>
    <row r="35" customFormat="false" ht="15" hidden="false" customHeight="false" outlineLevel="0" collapsed="false">
      <c r="A35" s="13" t="n">
        <v>50</v>
      </c>
      <c r="B35" s="82" t="n">
        <f aca="false">Engine!AM96</f>
        <v>34.2347562152952</v>
      </c>
      <c r="C35" s="82" t="n">
        <f aca="false">Engine!AM105</f>
        <v>66.9604184123792</v>
      </c>
      <c r="D35" s="82" t="n">
        <f aca="false">Engine!AM114</f>
        <v>57.9684357234233</v>
      </c>
      <c r="E35" s="82" t="n">
        <f aca="false">Engine!AM123</f>
        <v>62.5103443458466</v>
      </c>
      <c r="F35" s="82" t="n">
        <f aca="false">Routes!$J$6*FreightMult</f>
        <v>52</v>
      </c>
      <c r="G35" s="82" t="n">
        <f aca="false">Routes!$J$7*FreightMult</f>
        <v>92</v>
      </c>
      <c r="H35" s="82" t="n">
        <f aca="false">Routes!$J$8*FreightMult</f>
        <v>75</v>
      </c>
      <c r="I35" s="82" t="n">
        <f aca="false">Routes!$J$9*FreightMult</f>
        <v>75</v>
      </c>
    </row>
    <row r="36" customFormat="false" ht="15" hidden="false" customHeight="false" outlineLevel="0" collapsed="false">
      <c r="A36" s="13" t="n">
        <v>60</v>
      </c>
      <c r="B36" s="82" t="n">
        <f aca="false">Engine!AM97</f>
        <v>36.9008865990727</v>
      </c>
      <c r="C36" s="82" t="n">
        <f aca="false">Engine!AM106</f>
        <v>71.7324562873583</v>
      </c>
      <c r="D36" s="82" t="n">
        <f aca="false">Engine!AM115</f>
        <v>61.2208322375845</v>
      </c>
      <c r="E36" s="82" t="n">
        <f aca="false">Engine!AM124</f>
        <v>67.7561546357745</v>
      </c>
      <c r="F36" s="82" t="n">
        <f aca="false">Routes!$J$6*FreightMult</f>
        <v>52</v>
      </c>
      <c r="G36" s="82" t="n">
        <f aca="false">Routes!$J$7*FreightMult</f>
        <v>92</v>
      </c>
      <c r="H36" s="82" t="n">
        <f aca="false">Routes!$J$8*FreightMult</f>
        <v>75</v>
      </c>
      <c r="I36" s="82" t="n">
        <f aca="false">Routes!$J$9*FreightMult</f>
        <v>75</v>
      </c>
    </row>
    <row r="37" customFormat="false" ht="15" hidden="false" customHeight="false" outlineLevel="0" collapsed="false">
      <c r="A37" s="13" t="n">
        <v>70</v>
      </c>
      <c r="B37" s="82" t="n">
        <f aca="false">Engine!AM98</f>
        <v>39.5670169828501</v>
      </c>
      <c r="C37" s="82" t="n">
        <f aca="false">Engine!AM107</f>
        <v>76.5044941623373</v>
      </c>
      <c r="D37" s="82" t="n">
        <f aca="false">Engine!AM116</f>
        <v>64.4732287517457</v>
      </c>
      <c r="E37" s="82" t="n">
        <f aca="false">Engine!AM125</f>
        <v>73.0019649257025</v>
      </c>
      <c r="F37" s="82" t="n">
        <f aca="false">Routes!$J$6*FreightMult</f>
        <v>52</v>
      </c>
      <c r="G37" s="82" t="n">
        <f aca="false">Routes!$J$7*FreightMult</f>
        <v>92</v>
      </c>
      <c r="H37" s="82" t="n">
        <f aca="false">Routes!$J$8*FreightMult</f>
        <v>75</v>
      </c>
      <c r="I37" s="82" t="n">
        <f aca="false">Routes!$J$9*FreightMult</f>
        <v>75</v>
      </c>
    </row>
    <row r="38" customFormat="false" ht="15" hidden="false" customHeight="false" outlineLevel="0" collapsed="false">
      <c r="A38" s="13" t="n">
        <v>80</v>
      </c>
      <c r="B38" s="82" t="n">
        <f aca="false">Engine!AM99</f>
        <v>42.2331473666276</v>
      </c>
      <c r="C38" s="82" t="n">
        <f aca="false">Engine!AM108</f>
        <v>81.2765320373164</v>
      </c>
      <c r="D38" s="82" t="n">
        <f aca="false">Engine!AM117</f>
        <v>67.7256252659069</v>
      </c>
      <c r="E38" s="82" t="n">
        <f aca="false">Engine!AM126</f>
        <v>78.2477752156304</v>
      </c>
      <c r="F38" s="82" t="n">
        <f aca="false">Routes!$J$6*FreightMult</f>
        <v>52</v>
      </c>
      <c r="G38" s="82" t="n">
        <f aca="false">Routes!$J$7*FreightMult</f>
        <v>92</v>
      </c>
      <c r="H38" s="82" t="n">
        <f aca="false">Routes!$J$8*FreightMult</f>
        <v>75</v>
      </c>
      <c r="I38" s="82" t="n">
        <f aca="false">Routes!$J$9*FreightMult</f>
        <v>75</v>
      </c>
    </row>
    <row r="39" customFormat="false" ht="15" hidden="false" customHeight="false" outlineLevel="0" collapsed="false">
      <c r="A39" s="13" t="n">
        <v>90</v>
      </c>
      <c r="B39" s="82" t="n">
        <f aca="false">Engine!AM100</f>
        <v>44.899277750405</v>
      </c>
      <c r="C39" s="82" t="n">
        <f aca="false">Engine!AM109</f>
        <v>86.0485699122954</v>
      </c>
      <c r="D39" s="82" t="n">
        <f aca="false">Engine!AM118</f>
        <v>70.9780217800682</v>
      </c>
      <c r="E39" s="82" t="n">
        <f aca="false">Engine!AM127</f>
        <v>83.4935855055584</v>
      </c>
      <c r="F39" s="82" t="n">
        <f aca="false">Routes!$J$6*FreightMult</f>
        <v>52</v>
      </c>
      <c r="G39" s="82" t="n">
        <f aca="false">Routes!$J$7*FreightMult</f>
        <v>92</v>
      </c>
      <c r="H39" s="82" t="n">
        <f aca="false">Routes!$J$8*FreightMult</f>
        <v>75</v>
      </c>
      <c r="I39" s="82" t="n">
        <f aca="false">Routes!$J$9*FreightMult</f>
        <v>75</v>
      </c>
    </row>
    <row r="40" customFormat="false" ht="15" hidden="false" customHeight="false" outlineLevel="0" collapsed="false">
      <c r="A40" s="13" t="n">
        <v>100</v>
      </c>
      <c r="B40" s="82" t="n">
        <f aca="false">Engine!AM101</f>
        <v>47.5654081341824</v>
      </c>
      <c r="C40" s="82" t="n">
        <f aca="false">Engine!AM110</f>
        <v>90.8206077872745</v>
      </c>
      <c r="D40" s="82" t="n">
        <f aca="false">Engine!AM119</f>
        <v>74.2304182942294</v>
      </c>
      <c r="E40" s="82" t="n">
        <f aca="false">Engine!AM128</f>
        <v>88.7393957954863</v>
      </c>
      <c r="F40" s="82" t="n">
        <f aca="false">Routes!$J$6*FreightMult</f>
        <v>52</v>
      </c>
      <c r="G40" s="82" t="n">
        <f aca="false">Routes!$J$7*FreightMult</f>
        <v>92</v>
      </c>
      <c r="H40" s="82" t="n">
        <f aca="false">Routes!$J$8*FreightMult</f>
        <v>75</v>
      </c>
      <c r="I40" s="82" t="n">
        <f aca="false">Routes!$J$9*FreightMult</f>
        <v>75</v>
      </c>
    </row>
    <row r="41" customFormat="false" ht="15" hidden="false" customHeight="false" outlineLevel="0" collapsed="false">
      <c r="A41" s="13" t="n">
        <v>110</v>
      </c>
      <c r="B41" s="82" t="n">
        <f aca="false">Engine!AM102</f>
        <v>50.2315385179599</v>
      </c>
      <c r="C41" s="82" t="n">
        <f aca="false">Engine!AM111</f>
        <v>95.5926456622535</v>
      </c>
      <c r="D41" s="82" t="n">
        <f aca="false">Engine!AM120</f>
        <v>77.4828148083906</v>
      </c>
      <c r="E41" s="82" t="n">
        <f aca="false">Engine!AM129</f>
        <v>93.9852060854142</v>
      </c>
      <c r="F41" s="82" t="n">
        <f aca="false">Routes!$J$6*FreightMult</f>
        <v>52</v>
      </c>
      <c r="G41" s="82" t="n">
        <f aca="false">Routes!$J$7*FreightMult</f>
        <v>92</v>
      </c>
      <c r="H41" s="82" t="n">
        <f aca="false">Routes!$J$8*FreightMult</f>
        <v>75</v>
      </c>
      <c r="I41" s="82" t="n">
        <f aca="false">Routes!$J$9*FreightMult</f>
        <v>75</v>
      </c>
    </row>
    <row r="42" customFormat="false" ht="15" hidden="false" customHeight="false" outlineLevel="0" collapsed="false">
      <c r="A42" s="13" t="n">
        <v>120</v>
      </c>
      <c r="B42" s="82" t="n">
        <f aca="false">Engine!AM103</f>
        <v>52.8976689017373</v>
      </c>
      <c r="C42" s="82" t="n">
        <f aca="false">Engine!AM112</f>
        <v>100.364683537233</v>
      </c>
      <c r="D42" s="82" t="n">
        <f aca="false">Engine!AM121</f>
        <v>80.7352113225518</v>
      </c>
      <c r="E42" s="82" t="n">
        <f aca="false">Engine!AM130</f>
        <v>99.2310163753422</v>
      </c>
      <c r="F42" s="82" t="n">
        <f aca="false">Routes!$J$6*FreightMult</f>
        <v>52</v>
      </c>
      <c r="G42" s="82" t="n">
        <f aca="false">Routes!$J$7*FreightMult</f>
        <v>92</v>
      </c>
      <c r="H42" s="82" t="n">
        <f aca="false">Routes!$J$8*FreightMult</f>
        <v>75</v>
      </c>
      <c r="I42" s="82" t="n">
        <f aca="false">Routes!$J$9*FreightMult</f>
        <v>75</v>
      </c>
    </row>
    <row r="43" customFormat="false" ht="15" hidden="false" customHeight="false" outlineLevel="0" collapsed="false">
      <c r="A43" s="13" t="n">
        <v>130</v>
      </c>
      <c r="B43" s="82" t="n">
        <f aca="false">Engine!AM104</f>
        <v>55.5637992855148</v>
      </c>
      <c r="C43" s="82" t="n">
        <f aca="false">Engine!AM113</f>
        <v>105.136721412212</v>
      </c>
      <c r="D43" s="82" t="n">
        <f aca="false">Engine!AM122</f>
        <v>83.987607836713</v>
      </c>
      <c r="E43" s="82" t="n">
        <f aca="false">Engine!AM131</f>
        <v>104.47682666527</v>
      </c>
      <c r="F43" s="82" t="n">
        <f aca="false">Routes!$J$6*FreightMult</f>
        <v>52</v>
      </c>
      <c r="G43" s="82" t="n">
        <f aca="false">Routes!$J$7*FreightMult</f>
        <v>92</v>
      </c>
      <c r="H43" s="82" t="n">
        <f aca="false">Routes!$J$8*FreightMult</f>
        <v>75</v>
      </c>
      <c r="I43" s="82" t="n">
        <f aca="false">Routes!$J$9*FreightMult</f>
        <v>75</v>
      </c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A47" s="7" t="s">
        <v>445</v>
      </c>
      <c r="B47" s="2"/>
      <c r="C47" s="2"/>
      <c r="D47" s="2"/>
      <c r="E47" s="2"/>
      <c r="F47" s="2"/>
      <c r="G47" s="2"/>
      <c r="H47" s="2"/>
      <c r="I47" s="2"/>
    </row>
    <row r="48" customFormat="false" ht="15" hidden="false" customHeight="false" outlineLevel="0" collapsed="false">
      <c r="A48" s="21" t="s">
        <v>446</v>
      </c>
      <c r="B48" s="21" t="s">
        <v>447</v>
      </c>
      <c r="C48" s="21" t="s">
        <v>448</v>
      </c>
      <c r="D48" s="21" t="s">
        <v>449</v>
      </c>
      <c r="E48" s="21" t="s">
        <v>450</v>
      </c>
      <c r="F48" s="21" t="s">
        <v>451</v>
      </c>
      <c r="G48" s="21" t="s">
        <v>452</v>
      </c>
      <c r="H48" s="21" t="s">
        <v>453</v>
      </c>
      <c r="I48" s="2"/>
    </row>
    <row r="49" customFormat="false" ht="15" hidden="false" customHeight="false" outlineLevel="0" collapsed="false">
      <c r="A49" s="92" t="n">
        <v>0.8</v>
      </c>
      <c r="B49" s="67" t="n">
        <f aca="false">Engine!AK134</f>
        <v>18137.9964801724</v>
      </c>
      <c r="C49" s="67" t="n">
        <f aca="false">Engine!AK135</f>
        <v>16528.0354606822</v>
      </c>
      <c r="D49" s="67" t="n">
        <f aca="false">Engine!AK136</f>
        <v>14918.0744411919</v>
      </c>
      <c r="E49" s="67" t="n">
        <f aca="false">Engine!AK137</f>
        <v>13308.1134217017</v>
      </c>
      <c r="F49" s="67" t="n">
        <f aca="false">Engine!AK138</f>
        <v>11698.1524022114</v>
      </c>
      <c r="G49" s="67" t="n">
        <f aca="false">Engine!AK139</f>
        <v>10088.1913827211</v>
      </c>
      <c r="H49" s="67" t="n">
        <f aca="false">Engine!AK140</f>
        <v>8478.23036323089</v>
      </c>
      <c r="I49" s="2"/>
    </row>
    <row r="50" customFormat="false" ht="15" hidden="false" customHeight="false" outlineLevel="0" collapsed="false">
      <c r="A50" s="92" t="n">
        <v>0.9</v>
      </c>
      <c r="B50" s="67" t="n">
        <f aca="false">Engine!AK141</f>
        <v>22627.8495536357</v>
      </c>
      <c r="C50" s="67" t="n">
        <f aca="false">Engine!AK142</f>
        <v>21017.8885341454</v>
      </c>
      <c r="D50" s="67" t="n">
        <f aca="false">Engine!AK143</f>
        <v>19407.9275146552</v>
      </c>
      <c r="E50" s="67" t="n">
        <f aca="false">Engine!AK144</f>
        <v>17797.9664951649</v>
      </c>
      <c r="F50" s="67" t="n">
        <f aca="false">Engine!AK145</f>
        <v>16188.0054756747</v>
      </c>
      <c r="G50" s="67" t="n">
        <f aca="false">Engine!AK146</f>
        <v>14578.0444561844</v>
      </c>
      <c r="H50" s="67" t="n">
        <f aca="false">Engine!AK147</f>
        <v>12968.0834366942</v>
      </c>
      <c r="I50" s="2"/>
    </row>
    <row r="51" customFormat="false" ht="15" hidden="false" customHeight="false" outlineLevel="0" collapsed="false">
      <c r="A51" s="92" t="n">
        <v>1</v>
      </c>
      <c r="B51" s="67" t="n">
        <f aca="false">Engine!AK148</f>
        <v>27117.702627099</v>
      </c>
      <c r="C51" s="67" t="n">
        <f aca="false">Engine!AK149</f>
        <v>25507.7416076087</v>
      </c>
      <c r="D51" s="67" t="n">
        <f aca="false">Engine!AK150</f>
        <v>23897.7805881184</v>
      </c>
      <c r="E51" s="67" t="n">
        <f aca="false">Engine!AK151</f>
        <v>22287.8195686282</v>
      </c>
      <c r="F51" s="67" t="n">
        <f aca="false">Engine!AK152</f>
        <v>20677.8585491379</v>
      </c>
      <c r="G51" s="67" t="n">
        <f aca="false">Engine!AK153</f>
        <v>19067.8975296477</v>
      </c>
      <c r="H51" s="67" t="n">
        <f aca="false">Engine!AK154</f>
        <v>17457.9365101574</v>
      </c>
      <c r="I51" s="2"/>
    </row>
    <row r="52" customFormat="false" ht="15" hidden="false" customHeight="false" outlineLevel="0" collapsed="false">
      <c r="A52" s="92" t="n">
        <v>1.1</v>
      </c>
      <c r="B52" s="67" t="n">
        <f aca="false">Engine!AK155</f>
        <v>31607.5557005622</v>
      </c>
      <c r="C52" s="67" t="n">
        <f aca="false">Engine!AK156</f>
        <v>29997.594681072</v>
      </c>
      <c r="D52" s="67" t="n">
        <f aca="false">Engine!AK157</f>
        <v>28387.6336615817</v>
      </c>
      <c r="E52" s="67" t="n">
        <f aca="false">Engine!AK158</f>
        <v>26777.6726420915</v>
      </c>
      <c r="F52" s="67" t="n">
        <f aca="false">Engine!AK159</f>
        <v>25167.7116226012</v>
      </c>
      <c r="G52" s="67" t="n">
        <f aca="false">Engine!AK160</f>
        <v>23557.7506031109</v>
      </c>
      <c r="H52" s="67" t="n">
        <f aca="false">Engine!AK161</f>
        <v>21947.7895836207</v>
      </c>
      <c r="I52" s="2"/>
    </row>
    <row r="53" customFormat="false" ht="15" hidden="false" customHeight="false" outlineLevel="0" collapsed="false">
      <c r="A53" s="92" t="n">
        <v>1.2</v>
      </c>
      <c r="B53" s="67" t="n">
        <f aca="false">Engine!AK162</f>
        <v>36097.4087740255</v>
      </c>
      <c r="C53" s="67" t="n">
        <f aca="false">Engine!AK163</f>
        <v>34487.4477545352</v>
      </c>
      <c r="D53" s="67" t="n">
        <f aca="false">Engine!AK164</f>
        <v>32877.486735045</v>
      </c>
      <c r="E53" s="67" t="n">
        <f aca="false">Engine!AK165</f>
        <v>31267.5257155547</v>
      </c>
      <c r="F53" s="67" t="n">
        <f aca="false">Engine!AK166</f>
        <v>29657.5646960645</v>
      </c>
      <c r="G53" s="67" t="n">
        <f aca="false">Engine!AK167</f>
        <v>28047.6036765742</v>
      </c>
      <c r="H53" s="67" t="n">
        <f aca="false">Engine!AK168</f>
        <v>26437.642657084</v>
      </c>
      <c r="I53" s="2"/>
    </row>
    <row r="54" customFormat="false" ht="15" hidden="false" customHeight="false" outlineLevel="0" collapsed="false">
      <c r="A54" s="92" t="n">
        <v>1.3</v>
      </c>
      <c r="B54" s="67" t="n">
        <f aca="false">Engine!AK169</f>
        <v>40587.2618474888</v>
      </c>
      <c r="C54" s="67" t="n">
        <f aca="false">Engine!AK170</f>
        <v>38977.3008279985</v>
      </c>
      <c r="D54" s="67" t="n">
        <f aca="false">Engine!AK171</f>
        <v>37367.3398085083</v>
      </c>
      <c r="E54" s="67" t="n">
        <f aca="false">Engine!AK172</f>
        <v>35757.378789018</v>
      </c>
      <c r="F54" s="67" t="n">
        <f aca="false">Engine!AK173</f>
        <v>34147.4177695277</v>
      </c>
      <c r="G54" s="67" t="n">
        <f aca="false">Engine!AK174</f>
        <v>32537.4567500375</v>
      </c>
      <c r="H54" s="67" t="n">
        <f aca="false">Engine!AK175</f>
        <v>30927.4957305472</v>
      </c>
      <c r="I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</row>
    <row r="56" customFormat="false" ht="15" hidden="false" customHeight="false" outlineLevel="0" collapsed="false">
      <c r="A56" s="49" t="s">
        <v>454</v>
      </c>
      <c r="B56" s="2"/>
      <c r="C56" s="2"/>
      <c r="D56" s="2"/>
      <c r="E56" s="2"/>
      <c r="F56" s="2"/>
      <c r="G56" s="2"/>
      <c r="H56" s="2"/>
      <c r="I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</row>
    <row r="59" customFormat="false" ht="15" hidden="false" customHeight="false" outlineLevel="0" collapsed="false">
      <c r="A59" s="7" t="s">
        <v>455</v>
      </c>
      <c r="B59" s="2"/>
      <c r="C59" s="2"/>
      <c r="D59" s="2"/>
      <c r="E59" s="2"/>
      <c r="F59" s="2"/>
      <c r="G59" s="2"/>
      <c r="H59" s="2"/>
      <c r="I59" s="2"/>
    </row>
    <row r="60" customFormat="false" ht="15" hidden="false" customHeight="false" outlineLevel="0" collapsed="false">
      <c r="A60" s="21" t="s">
        <v>456</v>
      </c>
      <c r="B60" s="21" t="s">
        <v>457</v>
      </c>
      <c r="C60" s="21" t="s">
        <v>458</v>
      </c>
      <c r="D60" s="21" t="s">
        <v>459</v>
      </c>
      <c r="E60" s="2"/>
      <c r="F60" s="2"/>
      <c r="G60" s="2"/>
      <c r="H60" s="2"/>
      <c r="I60" s="2"/>
    </row>
    <row r="61" customFormat="false" ht="15" hidden="false" customHeight="false" outlineLevel="0" collapsed="false">
      <c r="A61" s="13" t="n">
        <v>10</v>
      </c>
      <c r="B61" s="67" t="n">
        <f aca="false">Engine!AK178</f>
        <v>25601.3014455023</v>
      </c>
      <c r="C61" s="67" t="n">
        <f aca="false">Engine!AK189</f>
        <v>24254.992804656</v>
      </c>
      <c r="D61" s="67" t="n">
        <f aca="false">Engine!AK200</f>
        <v>22512.711034149</v>
      </c>
      <c r="E61" s="2"/>
      <c r="F61" s="2"/>
      <c r="G61" s="2"/>
      <c r="H61" s="2"/>
      <c r="I61" s="2"/>
    </row>
    <row r="62" customFormat="false" ht="15" hidden="false" customHeight="false" outlineLevel="0" collapsed="false">
      <c r="A62" s="13" t="n">
        <v>10.5</v>
      </c>
      <c r="B62" s="67" t="n">
        <f aca="false">Engine!AK179</f>
        <v>25968.2655121317</v>
      </c>
      <c r="C62" s="67" t="n">
        <f aca="false">Engine!AK190</f>
        <v>24460.6373976536</v>
      </c>
      <c r="D62" s="67" t="n">
        <f aca="false">Engine!AK201</f>
        <v>22509.5892495055</v>
      </c>
      <c r="E62" s="2"/>
      <c r="F62" s="2"/>
      <c r="G62" s="2"/>
      <c r="H62" s="2"/>
      <c r="I62" s="2"/>
    </row>
    <row r="63" customFormat="false" ht="15" hidden="false" customHeight="false" outlineLevel="0" collapsed="false">
      <c r="A63" s="13" t="n">
        <v>11</v>
      </c>
      <c r="B63" s="67" t="n">
        <f aca="false">Engine!AK180</f>
        <v>26246.9776863633</v>
      </c>
      <c r="C63" s="67" t="n">
        <f aca="false">Engine!AK191</f>
        <v>24566.0363435497</v>
      </c>
      <c r="D63" s="67" t="n">
        <f aca="false">Engine!AK202</f>
        <v>22390.7004881438</v>
      </c>
      <c r="E63" s="2"/>
      <c r="F63" s="2"/>
      <c r="G63" s="2"/>
      <c r="H63" s="2"/>
      <c r="I63" s="2"/>
    </row>
    <row r="64" customFormat="false" ht="15" hidden="false" customHeight="false" outlineLevel="0" collapsed="false">
      <c r="A64" s="13" t="n">
        <v>11.5</v>
      </c>
      <c r="B64" s="67" t="n">
        <f aca="false">Engine!AK181</f>
        <v>26437.3163982511</v>
      </c>
      <c r="C64" s="67" t="n">
        <f aca="false">Engine!AK192</f>
        <v>24570.7814647687</v>
      </c>
      <c r="D64" s="67" t="n">
        <f aca="false">Engine!AK203</f>
        <v>22155.2656684973</v>
      </c>
      <c r="E64" s="2"/>
      <c r="F64" s="2"/>
      <c r="G64" s="2"/>
      <c r="H64" s="2"/>
      <c r="I64" s="2"/>
    </row>
    <row r="65" customFormat="false" ht="15" hidden="false" customHeight="false" outlineLevel="0" collapsed="false">
      <c r="A65" s="13" t="n">
        <v>12</v>
      </c>
      <c r="B65" s="67" t="n">
        <f aca="false">Engine!AK182</f>
        <v>26539.1665211512</v>
      </c>
      <c r="C65" s="67" t="n">
        <f aca="false">Engine!AK193</f>
        <v>24474.4862174649</v>
      </c>
      <c r="D65" s="67" t="n">
        <f aca="false">Engine!AK204</f>
        <v>21802.5470009295</v>
      </c>
      <c r="E65" s="2"/>
      <c r="F65" s="2"/>
      <c r="G65" s="2"/>
      <c r="H65" s="2"/>
      <c r="I65" s="2"/>
    </row>
    <row r="66" customFormat="false" ht="15" hidden="false" customHeight="false" outlineLevel="0" collapsed="false">
      <c r="A66" s="13" t="n">
        <v>12.5</v>
      </c>
      <c r="B66" s="67" t="n">
        <f aca="false">Engine!AK183</f>
        <v>26552.4189504287</v>
      </c>
      <c r="C66" s="67" t="n">
        <f aca="false">Engine!AK194</f>
        <v>24276.7842770088</v>
      </c>
      <c r="D66" s="67" t="n">
        <f aca="false">Engine!AK205</f>
        <v>21331.8452878772</v>
      </c>
      <c r="E66" s="2"/>
      <c r="F66" s="2"/>
      <c r="G66" s="2"/>
      <c r="H66" s="2"/>
      <c r="I66" s="2"/>
    </row>
    <row r="67" customFormat="false" ht="15" hidden="false" customHeight="false" outlineLevel="0" collapsed="false">
      <c r="A67" s="13" t="n">
        <v>13</v>
      </c>
      <c r="B67" s="67" t="n">
        <f aca="false">Engine!AK184</f>
        <v>26476.9702147934</v>
      </c>
      <c r="C67" s="67" t="n">
        <f aca="false">Engine!AK195</f>
        <v>23977.328233027</v>
      </c>
      <c r="D67" s="67" t="n">
        <f aca="false">Engine!AK206</f>
        <v>20742.4974330941</v>
      </c>
      <c r="E67" s="2"/>
      <c r="F67" s="2"/>
      <c r="G67" s="2"/>
      <c r="H67" s="2"/>
      <c r="I67" s="2"/>
    </row>
    <row r="68" customFormat="false" ht="15" hidden="false" customHeight="false" outlineLevel="0" collapsed="false">
      <c r="A68" s="13" t="n">
        <v>13.5</v>
      </c>
      <c r="B68" s="67" t="n">
        <f aca="false">Engine!AK185</f>
        <v>26312.7221173538</v>
      </c>
      <c r="C68" s="67" t="n">
        <f aca="false">Engine!AK196</f>
        <v>23575.7883842204</v>
      </c>
      <c r="D68" s="67" t="n">
        <f aca="false">Engine!AK207</f>
        <v>20033.8741413418</v>
      </c>
      <c r="E68" s="2"/>
      <c r="F68" s="2"/>
      <c r="G68" s="2"/>
      <c r="H68" s="2"/>
      <c r="I68" s="2"/>
    </row>
    <row r="69" customFormat="false" ht="15" hidden="false" customHeight="false" outlineLevel="0" collapsed="false">
      <c r="A69" s="13" t="n">
        <v>14</v>
      </c>
      <c r="B69" s="67" t="n">
        <f aca="false">Engine!AK186</f>
        <v>26059.5814037712</v>
      </c>
      <c r="C69" s="67" t="n">
        <f aca="false">Engine!AK197</f>
        <v>23071.8516241739</v>
      </c>
      <c r="D69" s="67" t="n">
        <f aca="false">Engine!AK208</f>
        <v>19205.3777917539</v>
      </c>
      <c r="E69" s="2"/>
      <c r="F69" s="2"/>
      <c r="G69" s="2"/>
      <c r="H69" s="2"/>
      <c r="I69" s="2"/>
    </row>
    <row r="70" customFormat="false" ht="15" hidden="false" customHeight="false" outlineLevel="0" collapsed="false">
      <c r="A70" s="13" t="n">
        <v>14.5</v>
      </c>
      <c r="B70" s="67" t="n">
        <f aca="false">Engine!AK187</f>
        <v>25717.4594551563</v>
      </c>
      <c r="C70" s="67" t="n">
        <f aca="false">Engine!AK198</f>
        <v>22465.2204102418</v>
      </c>
      <c r="D70" s="67" t="n">
        <f aca="false">Engine!AK209</f>
        <v>18256.4404697642</v>
      </c>
      <c r="E70" s="2"/>
      <c r="F70" s="2"/>
      <c r="G70" s="2"/>
      <c r="H70" s="2"/>
      <c r="I70" s="2"/>
    </row>
    <row r="71" customFormat="false" ht="15" hidden="false" customHeight="false" outlineLevel="0" collapsed="false">
      <c r="A71" s="13" t="n">
        <v>15</v>
      </c>
      <c r="B71" s="67" t="n">
        <f aca="false">Engine!AK188</f>
        <v>25286.2720035834</v>
      </c>
      <c r="C71" s="67" t="n">
        <f aca="false">Engine!AK199</f>
        <v>21755.6118083701</v>
      </c>
      <c r="D71" s="67" t="n">
        <f aca="false">Engine!AK210</f>
        <v>17186.5221439765</v>
      </c>
      <c r="E71" s="2"/>
      <c r="F71" s="2"/>
      <c r="G71" s="2"/>
      <c r="H71" s="2"/>
      <c r="I71" s="2"/>
    </row>
    <row r="72" customFormat="false" ht="15" hidden="false" customHeight="false" outlineLevel="0" collapsed="false">
      <c r="A72" s="18" t="s">
        <v>460</v>
      </c>
      <c r="B72" s="77" t="n">
        <f aca="false">INDEX($A$61:$A$71,MATCH(MAX(B61:B71),B61:B71,0))</f>
        <v>12.5</v>
      </c>
      <c r="C72" s="77" t="n">
        <f aca="false">INDEX($A$61:$A$71,MATCH(MAX(C61:C71),C61:C71,0))</f>
        <v>11.5</v>
      </c>
      <c r="D72" s="77" t="n">
        <f aca="false">INDEX($A$61:$A$71,MATCH(MAX(D61:D71),D61:D71,0))</f>
        <v>10</v>
      </c>
      <c r="E72" s="2"/>
      <c r="F72" s="2"/>
      <c r="G72" s="2"/>
      <c r="H72" s="2"/>
      <c r="I72" s="2"/>
    </row>
  </sheetData>
  <conditionalFormatting sqref="B49:H54">
    <cfRule type="colorScale" priority="2">
      <colorScale>
        <cfvo type="min" val="0"/>
        <cfvo type="num" val="1800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AO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9" min="3" style="0" width="12"/>
  </cols>
  <sheetData>
    <row r="1" customFormat="false" ht="19.7" hidden="false" customHeight="false" outlineLevel="0" collapsed="false">
      <c r="A1" s="1" t="s">
        <v>461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customFormat="false" ht="15" hidden="false" customHeight="false" outlineLevel="0" collapsed="false">
      <c r="A3" s="20" t="s">
        <v>462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customFormat="false" ht="45" hidden="false" customHeight="true" outlineLevel="0" collapsed="false">
      <c r="A6" s="21" t="s">
        <v>463</v>
      </c>
      <c r="B6" s="21" t="s">
        <v>464</v>
      </c>
      <c r="C6" s="21" t="s">
        <v>465</v>
      </c>
      <c r="D6" s="21" t="s">
        <v>432</v>
      </c>
      <c r="E6" s="21" t="s">
        <v>466</v>
      </c>
      <c r="F6" s="21" t="s">
        <v>467</v>
      </c>
      <c r="G6" s="21" t="s">
        <v>468</v>
      </c>
      <c r="H6" s="21" t="s">
        <v>469</v>
      </c>
      <c r="I6" s="21" t="s">
        <v>470</v>
      </c>
      <c r="J6" s="21" t="s">
        <v>471</v>
      </c>
      <c r="K6" s="21" t="s">
        <v>472</v>
      </c>
      <c r="L6" s="21" t="s">
        <v>473</v>
      </c>
      <c r="M6" s="21" t="s">
        <v>474</v>
      </c>
      <c r="N6" s="21" t="s">
        <v>475</v>
      </c>
      <c r="O6" s="21" t="s">
        <v>476</v>
      </c>
      <c r="P6" s="21" t="s">
        <v>477</v>
      </c>
      <c r="Q6" s="21" t="s">
        <v>478</v>
      </c>
      <c r="R6" s="21" t="s">
        <v>479</v>
      </c>
      <c r="S6" s="21" t="s">
        <v>480</v>
      </c>
      <c r="T6" s="21" t="s">
        <v>481</v>
      </c>
      <c r="U6" s="21" t="s">
        <v>482</v>
      </c>
      <c r="V6" s="21" t="s">
        <v>483</v>
      </c>
      <c r="W6" s="21" t="s">
        <v>356</v>
      </c>
      <c r="X6" s="21" t="s">
        <v>484</v>
      </c>
      <c r="Y6" s="21" t="s">
        <v>485</v>
      </c>
      <c r="Z6" s="21" t="s">
        <v>486</v>
      </c>
      <c r="AA6" s="21" t="s">
        <v>487</v>
      </c>
      <c r="AB6" s="21" t="s">
        <v>488</v>
      </c>
      <c r="AC6" s="21" t="s">
        <v>489</v>
      </c>
      <c r="AD6" s="21" t="s">
        <v>490</v>
      </c>
      <c r="AE6" s="21" t="s">
        <v>491</v>
      </c>
      <c r="AF6" s="21" t="s">
        <v>492</v>
      </c>
      <c r="AG6" s="21" t="s">
        <v>493</v>
      </c>
      <c r="AH6" s="21" t="s">
        <v>494</v>
      </c>
      <c r="AI6" s="21" t="s">
        <v>495</v>
      </c>
      <c r="AJ6" s="21" t="s">
        <v>496</v>
      </c>
      <c r="AK6" s="21" t="s">
        <v>339</v>
      </c>
      <c r="AL6" s="21" t="s">
        <v>497</v>
      </c>
      <c r="AM6" s="21" t="s">
        <v>498</v>
      </c>
      <c r="AN6" s="2"/>
      <c r="AO6" s="2"/>
    </row>
    <row r="7" customFormat="false" ht="15" hidden="false" customHeight="false" outlineLevel="0" collapsed="false">
      <c r="A7" s="2" t="s">
        <v>499</v>
      </c>
      <c r="B7" s="2" t="s">
        <v>500</v>
      </c>
      <c r="C7" s="16" t="n">
        <f aca="false">Sw_Route</f>
        <v>1</v>
      </c>
      <c r="D7" s="93" t="n">
        <f aca="false">Brent</f>
        <v>82.01</v>
      </c>
      <c r="E7" s="88" t="n">
        <f aca="false">FreightMult</f>
        <v>1</v>
      </c>
      <c r="F7" s="88" t="n">
        <f aca="false">PortMult</f>
        <v>1</v>
      </c>
      <c r="G7" s="89" t="n">
        <f aca="false">UtilFH</f>
        <v>0.85</v>
      </c>
      <c r="H7" s="89" t="n">
        <f aca="false">UtilBH</f>
        <v>0.5</v>
      </c>
      <c r="I7" s="90" t="n">
        <f aca="false">Speed</f>
        <v>13.5</v>
      </c>
      <c r="J7" s="88" t="n">
        <f aca="false">PortCostMult</f>
        <v>1</v>
      </c>
      <c r="K7" s="90" t="n">
        <f aca="false">EUA</f>
        <v>75</v>
      </c>
      <c r="L7" s="71" t="n">
        <f aca="false">INDEX(Routes!$E$6:$E$9,$C7)</f>
        <v>5000</v>
      </c>
      <c r="M7" s="72" t="n">
        <f aca="false">INDEX(Routes!$F$6:$F$9,$C7)/L7</f>
        <v>0.13</v>
      </c>
      <c r="N7" s="77" t="n">
        <f aca="false">2*L7*(1+SeaMargin)/(I7*24)</f>
        <v>32.4074074074074</v>
      </c>
      <c r="O7" s="84" t="n">
        <f aca="false">(I7/RefSpeed)^SpeedExp</f>
        <v>1</v>
      </c>
      <c r="P7" s="2" t="n">
        <f aca="false">IF(H7&gt;0,1,0)</f>
        <v>1</v>
      </c>
      <c r="Q7" s="71" t="n">
        <f aca="false">N7/2*O7*(ConsLaden+IF(P7=1,ConsLaden,ConsBallast))</f>
        <v>875</v>
      </c>
      <c r="R7" s="71" t="n">
        <f aca="false">Q7*(1-M7)</f>
        <v>761.25</v>
      </c>
      <c r="S7" s="71" t="n">
        <f aca="false">Q7*M7</f>
        <v>113.75</v>
      </c>
      <c r="T7" s="2" t="n">
        <f aca="false">1+P7</f>
        <v>2</v>
      </c>
      <c r="U7" s="77" t="n">
        <f aca="false">INDEX(Routes!$L$6:$L$9,$C7)*T7*F7</f>
        <v>10</v>
      </c>
      <c r="V7" s="77" t="n">
        <f aca="false">INDEX(Routes!$M$6:$M$9,$C7)*T7*F7</f>
        <v>7</v>
      </c>
      <c r="W7" s="77" t="n">
        <f aca="false">INDEX(Routes!$H$6:$H$9,$C7)*2</f>
        <v>0</v>
      </c>
      <c r="X7" s="71" t="n">
        <f aca="false">(U7+V7+W7)*ConsPort</f>
        <v>102</v>
      </c>
      <c r="Y7" s="67" t="n">
        <f aca="false">R7*D7*VLSFO_Mult+(S7+X7)*D7*MGO_Mult</f>
        <v>652340.344</v>
      </c>
      <c r="Z7" s="67" t="n">
        <f aca="false">(INDEX(Routes!$N$6:$N$9,$C7)+AN7+MIN(AC7*INDEX(Routes!$T$6:$T$9,$C7),INDEX(Routes!$V$6:$V$9,$C7))+INDEX(Routes!$O$6:$O$9,$C7)+AO7+MIN(AC7*INDEX(Routes!$U$6:$U$9,$C7),INDEX(Routes!$W$6:$W$9,$C7))+IF(P7=1,INDEX(Routes!$N$6:$N$9,$C7)+AN7+MIN(AD7*INDEX(Routes!$T$6:$T$9,$C7),INDEX(Routes!$V$6:$V$9,$C7))+INDEX(Routes!$O$6:$O$9,$C7)+AO7+MIN(AD7*INDEX(Routes!$U$6:$U$9,$C7),INDEX(Routes!$W$6:$W$9,$C7)),0))*J7</f>
        <v>252304.2096</v>
      </c>
      <c r="AA7" s="67" t="n">
        <f aca="false">INDEX(Routes!$R$6:$R$9,$C7)+IF(P7=1,INDEX(Routes!$R$6:$R$9,$C7),INDEX(Routes!$S$6:$S$9,$C7))</f>
        <v>0</v>
      </c>
      <c r="AB7" s="67" t="n">
        <f aca="false">((R7*CO2_VLSFO+S7*CO2_MGO)*INDEX(Routes!$I$6:$I$9,$C7)+(U7*INDEX(Routes!$P$6:$P$9,$C7)+V7*INDEX(Routes!$Q$6:$Q$9,$C7))*ConsPort*CO2_MGO)*PhaseIn*K7*FX</f>
        <v>123936.40875</v>
      </c>
      <c r="AC7" s="71" t="n">
        <f aca="false">Capacity*G7</f>
        <v>30600</v>
      </c>
      <c r="AD7" s="71" t="n">
        <f aca="false">Capacity*H7</f>
        <v>18000</v>
      </c>
      <c r="AE7" s="82" t="n">
        <f aca="false">INDEX(Routes!$J$6:$J$9,$C7)*E7</f>
        <v>52</v>
      </c>
      <c r="AF7" s="82" t="n">
        <f aca="false">INDEX(Routes!$K$6:$K$9,$C7)*E7</f>
        <v>38</v>
      </c>
      <c r="AG7" s="67" t="n">
        <f aca="false">AC7*AE7+AD7*AF7</f>
        <v>2275200</v>
      </c>
      <c r="AH7" s="67" t="n">
        <f aca="false">AG7*Commission</f>
        <v>56880</v>
      </c>
      <c r="AI7" s="67" t="n">
        <f aca="false">Y7+Z7+AA7+AB7+MiscVoy</f>
        <v>1053580.96235</v>
      </c>
      <c r="AJ7" s="77" t="n">
        <f aca="false">N7+U7+V7+W7</f>
        <v>49.4074074074074</v>
      </c>
      <c r="AK7" s="94" t="n">
        <f aca="false">(AG7-AH7-AI7)/AJ7</f>
        <v>23574.1784232009</v>
      </c>
      <c r="AL7" s="67" t="n">
        <f aca="false">AG7-AH7-AI7-Benchmark*AJ7</f>
        <v>275405.704316667</v>
      </c>
      <c r="AM7" s="82" t="n">
        <f aca="false">IF(AC7&gt;0,((Benchmark*AJ7+AI7)/(1-Commission)-AD7*AF7)/AC7,0)</f>
        <v>42.7690395737668</v>
      </c>
      <c r="AN7" s="67" t="n">
        <f aca="false">LOA_ft*Port_Tariffs!$C$9*IF((INDEX(Routes!$L$6:$L$9,$C7)*INDEX(Routes!$X$6:$X$9,$C7)*F7)&lt;=2,(INDEX(Routes!$L$6:$L$9,$C7)*INDEX(Routes!$X$6:$X$9,$C7)*F7),IF((INDEX(Routes!$L$6:$L$9,$C7)*INDEX(Routes!$X$6:$X$9,$C7)*F7)&lt;=3,2+0.9*((INDEX(Routes!$L$6:$L$9,$C7)*INDEX(Routes!$X$6:$X$9,$C7)*F7)-2),IF((INDEX(Routes!$L$6:$L$9,$C7)*INDEX(Routes!$X$6:$X$9,$C7)*F7)&lt;=4,2.9+0.75*((INDEX(Routes!$L$6:$L$9,$C7)*INDEX(Routes!$X$6:$X$9,$C7)*F7)-3),IF((INDEX(Routes!$L$6:$L$9,$C7)*INDEX(Routes!$X$6:$X$9,$C7)*F7)&lt;=5,3.65+0.6*((INDEX(Routes!$L$6:$L$9,$C7)*INDEX(Routes!$X$6:$X$9,$C7)*F7)-4),4.25+0.5*((INDEX(Routes!$L$6:$L$9,$C7)*INDEX(Routes!$X$6:$X$9,$C7)*F7)-5)))))</f>
        <v>19557.6</v>
      </c>
      <c r="AO7" s="67" t="n">
        <f aca="false">LOA_ft*Port_Tariffs!$C$9*IF((INDEX(Routes!$M$6:$M$9,$C7)*INDEX(Routes!$Y$6:$Y$9,$C7)*F7)&lt;=2,(INDEX(Routes!$M$6:$M$9,$C7)*INDEX(Routes!$Y$6:$Y$9,$C7)*F7),IF((INDEX(Routes!$M$6:$M$9,$C7)*INDEX(Routes!$Y$6:$Y$9,$C7)*F7)&lt;=3,2+0.9*((INDEX(Routes!$M$6:$M$9,$C7)*INDEX(Routes!$Y$6:$Y$9,$C7)*F7)-2),IF((INDEX(Routes!$M$6:$M$9,$C7)*INDEX(Routes!$Y$6:$Y$9,$C7)*F7)&lt;=4,2.9+0.75*((INDEX(Routes!$M$6:$M$9,$C7)*INDEX(Routes!$Y$6:$Y$9,$C7)*F7)-3),IF((INDEX(Routes!$M$6:$M$9,$C7)*INDEX(Routes!$Y$6:$Y$9,$C7)*F7)&lt;=5,3.65+0.6*((INDEX(Routes!$M$6:$M$9,$C7)*INDEX(Routes!$Y$6:$Y$9,$C7)*F7)-4),4.25+0.5*((INDEX(Routes!$M$6:$M$9,$C7)*INDEX(Routes!$Y$6:$Y$9,$C7)*F7)-5)))))</f>
        <v>0</v>
      </c>
    </row>
    <row r="8" customFormat="false" ht="15" hidden="false" customHeight="false" outlineLevel="0" collapsed="false">
      <c r="A8" s="18" t="s">
        <v>501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customFormat="false" ht="15" hidden="false" customHeight="false" outlineLevel="0" collapsed="false">
      <c r="A9" s="2" t="s">
        <v>502</v>
      </c>
      <c r="B9" s="2" t="s">
        <v>503</v>
      </c>
      <c r="C9" s="16" t="n">
        <f aca="false">Sw_Route</f>
        <v>1</v>
      </c>
      <c r="D9" s="93" t="n">
        <f aca="false">Brent</f>
        <v>82.01</v>
      </c>
      <c r="E9" s="88" t="n">
        <f aca="false">Freight_Low</f>
        <v>0.91</v>
      </c>
      <c r="F9" s="88" t="n">
        <f aca="false">PortMult</f>
        <v>1</v>
      </c>
      <c r="G9" s="89" t="n">
        <f aca="false">UtilFH</f>
        <v>0.85</v>
      </c>
      <c r="H9" s="89" t="n">
        <f aca="false">UtilBH</f>
        <v>0.5</v>
      </c>
      <c r="I9" s="90" t="n">
        <f aca="false">Speed</f>
        <v>13.5</v>
      </c>
      <c r="J9" s="88" t="n">
        <f aca="false">PortCostMult</f>
        <v>1</v>
      </c>
      <c r="K9" s="90" t="n">
        <f aca="false">EUA</f>
        <v>75</v>
      </c>
      <c r="L9" s="71" t="n">
        <f aca="false">INDEX(Routes!$E$6:$E$9,$C9)</f>
        <v>5000</v>
      </c>
      <c r="M9" s="72" t="n">
        <f aca="false">INDEX(Routes!$F$6:$F$9,$C9)/L9</f>
        <v>0.13</v>
      </c>
      <c r="N9" s="77" t="n">
        <f aca="false">2*L9*(1+SeaMargin)/(I9*24)</f>
        <v>32.4074074074074</v>
      </c>
      <c r="O9" s="84" t="n">
        <f aca="false">(I9/RefSpeed)^SpeedExp</f>
        <v>1</v>
      </c>
      <c r="P9" s="2" t="n">
        <f aca="false">IF(H9&gt;0,1,0)</f>
        <v>1</v>
      </c>
      <c r="Q9" s="71" t="n">
        <f aca="false">N9/2*O9*(ConsLaden+IF(P9=1,ConsLaden,ConsBallast))</f>
        <v>875</v>
      </c>
      <c r="R9" s="71" t="n">
        <f aca="false">Q9*(1-M9)</f>
        <v>761.25</v>
      </c>
      <c r="S9" s="71" t="n">
        <f aca="false">Q9*M9</f>
        <v>113.75</v>
      </c>
      <c r="T9" s="2" t="n">
        <f aca="false">1+P9</f>
        <v>2</v>
      </c>
      <c r="U9" s="77" t="n">
        <f aca="false">INDEX(Routes!$L$6:$L$9,$C9)*T9*F9</f>
        <v>10</v>
      </c>
      <c r="V9" s="77" t="n">
        <f aca="false">INDEX(Routes!$M$6:$M$9,$C9)*T9*F9</f>
        <v>7</v>
      </c>
      <c r="W9" s="77" t="n">
        <f aca="false">INDEX(Routes!$H$6:$H$9,$C9)*2</f>
        <v>0</v>
      </c>
      <c r="X9" s="71" t="n">
        <f aca="false">(U9+V9+W9)*ConsPort</f>
        <v>102</v>
      </c>
      <c r="Y9" s="67" t="n">
        <f aca="false">R9*D9*VLSFO_Mult+(S9+X9)*D9*MGO_Mult</f>
        <v>652340.344</v>
      </c>
      <c r="Z9" s="67" t="n">
        <f aca="false">(INDEX(Routes!$N$6:$N$9,$C9)+AN9+MIN(AC9*INDEX(Routes!$T$6:$T$9,$C9),INDEX(Routes!$V$6:$V$9,$C9))+INDEX(Routes!$O$6:$O$9,$C9)+AO9+MIN(AC9*INDEX(Routes!$U$6:$U$9,$C9),INDEX(Routes!$W$6:$W$9,$C9))+IF(P9=1,INDEX(Routes!$N$6:$N$9,$C9)+AN9+MIN(AD9*INDEX(Routes!$T$6:$T$9,$C9),INDEX(Routes!$V$6:$V$9,$C9))+INDEX(Routes!$O$6:$O$9,$C9)+AO9+MIN(AD9*INDEX(Routes!$U$6:$U$9,$C9),INDEX(Routes!$W$6:$W$9,$C9)),0))*J9</f>
        <v>252304.2096</v>
      </c>
      <c r="AA9" s="67" t="n">
        <f aca="false">INDEX(Routes!$R$6:$R$9,$C9)+IF(P9=1,INDEX(Routes!$R$6:$R$9,$C9),INDEX(Routes!$S$6:$S$9,$C9))</f>
        <v>0</v>
      </c>
      <c r="AB9" s="67" t="n">
        <f aca="false">((R9*CO2_VLSFO+S9*CO2_MGO)*INDEX(Routes!$I$6:$I$9,$C9)+(U9*INDEX(Routes!$P$6:$P$9,$C9)+V9*INDEX(Routes!$Q$6:$Q$9,$C9))*ConsPort*CO2_MGO)*PhaseIn*K9*FX</f>
        <v>123936.40875</v>
      </c>
      <c r="AC9" s="71" t="n">
        <f aca="false">Capacity*G9</f>
        <v>30600</v>
      </c>
      <c r="AD9" s="71" t="n">
        <f aca="false">Capacity*H9</f>
        <v>18000</v>
      </c>
      <c r="AE9" s="82" t="n">
        <f aca="false">INDEX(Routes!$J$6:$J$9,$C9)*E9</f>
        <v>47.32</v>
      </c>
      <c r="AF9" s="82" t="n">
        <f aca="false">INDEX(Routes!$K$6:$K$9,$C9)*E9</f>
        <v>34.58</v>
      </c>
      <c r="AG9" s="67" t="n">
        <f aca="false">AC9*AE9+AD9*AF9</f>
        <v>2070432</v>
      </c>
      <c r="AH9" s="67" t="n">
        <f aca="false">AG9*Commission</f>
        <v>51760.8</v>
      </c>
      <c r="AI9" s="67" t="n">
        <f aca="false">Y9+Z9+AA9+AB9+MiscVoy</f>
        <v>1053580.96235</v>
      </c>
      <c r="AJ9" s="77" t="n">
        <f aca="false">N9+U9+V9+W9</f>
        <v>49.4074074074074</v>
      </c>
      <c r="AK9" s="94" t="n">
        <f aca="false">(AG9-AH9-AI9)/AJ9</f>
        <v>19533.310657084</v>
      </c>
      <c r="AL9" s="67" t="n">
        <f aca="false">AG9-AH9-AI9-Benchmark*AJ9</f>
        <v>75756.904316667</v>
      </c>
      <c r="AM9" s="82" t="n">
        <f aca="false">IF(AC9&gt;0,((Benchmark*AJ9+AI9)/(1-Commission)-AD9*AF9)/AC9,0)</f>
        <v>44.7808042796492</v>
      </c>
      <c r="AN9" s="67" t="n">
        <f aca="false">LOA_ft*Port_Tariffs!$C$9*IF((INDEX(Routes!$L$6:$L$9,$C9)*INDEX(Routes!$X$6:$X$9,$C9)*F9)&lt;=2,(INDEX(Routes!$L$6:$L$9,$C9)*INDEX(Routes!$X$6:$X$9,$C9)*F9),IF((INDEX(Routes!$L$6:$L$9,$C9)*INDEX(Routes!$X$6:$X$9,$C9)*F9)&lt;=3,2+0.9*((INDEX(Routes!$L$6:$L$9,$C9)*INDEX(Routes!$X$6:$X$9,$C9)*F9)-2),IF((INDEX(Routes!$L$6:$L$9,$C9)*INDEX(Routes!$X$6:$X$9,$C9)*F9)&lt;=4,2.9+0.75*((INDEX(Routes!$L$6:$L$9,$C9)*INDEX(Routes!$X$6:$X$9,$C9)*F9)-3),IF((INDEX(Routes!$L$6:$L$9,$C9)*INDEX(Routes!$X$6:$X$9,$C9)*F9)&lt;=5,3.65+0.6*((INDEX(Routes!$L$6:$L$9,$C9)*INDEX(Routes!$X$6:$X$9,$C9)*F9)-4),4.25+0.5*((INDEX(Routes!$L$6:$L$9,$C9)*INDEX(Routes!$X$6:$X$9,$C9)*F9)-5)))))</f>
        <v>19557.6</v>
      </c>
      <c r="AO9" s="67" t="n">
        <f aca="false">LOA_ft*Port_Tariffs!$C$9*IF((INDEX(Routes!$M$6:$M$9,$C9)*INDEX(Routes!$Y$6:$Y$9,$C9)*F9)&lt;=2,(INDEX(Routes!$M$6:$M$9,$C9)*INDEX(Routes!$Y$6:$Y$9,$C9)*F9),IF((INDEX(Routes!$M$6:$M$9,$C9)*INDEX(Routes!$Y$6:$Y$9,$C9)*F9)&lt;=3,2+0.9*((INDEX(Routes!$M$6:$M$9,$C9)*INDEX(Routes!$Y$6:$Y$9,$C9)*F9)-2),IF((INDEX(Routes!$M$6:$M$9,$C9)*INDEX(Routes!$Y$6:$Y$9,$C9)*F9)&lt;=4,2.9+0.75*((INDEX(Routes!$M$6:$M$9,$C9)*INDEX(Routes!$Y$6:$Y$9,$C9)*F9)-3),IF((INDEX(Routes!$M$6:$M$9,$C9)*INDEX(Routes!$Y$6:$Y$9,$C9)*F9)&lt;=5,3.65+0.6*((INDEX(Routes!$M$6:$M$9,$C9)*INDEX(Routes!$Y$6:$Y$9,$C9)*F9)-4),4.25+0.5*((INDEX(Routes!$M$6:$M$9,$C9)*INDEX(Routes!$Y$6:$Y$9,$C9)*F9)-5)))))</f>
        <v>0</v>
      </c>
    </row>
    <row r="10" customFormat="false" ht="15" hidden="false" customHeight="false" outlineLevel="0" collapsed="false">
      <c r="A10" s="2" t="s">
        <v>504</v>
      </c>
      <c r="B10" s="2" t="s">
        <v>503</v>
      </c>
      <c r="C10" s="16" t="n">
        <f aca="false">Sw_Route</f>
        <v>1</v>
      </c>
      <c r="D10" s="93" t="n">
        <f aca="false">Brent</f>
        <v>82.01</v>
      </c>
      <c r="E10" s="88" t="n">
        <f aca="false">Freight_High</f>
        <v>1.25</v>
      </c>
      <c r="F10" s="88" t="n">
        <f aca="false">PortMult</f>
        <v>1</v>
      </c>
      <c r="G10" s="89" t="n">
        <f aca="false">UtilFH</f>
        <v>0.85</v>
      </c>
      <c r="H10" s="89" t="n">
        <f aca="false">UtilBH</f>
        <v>0.5</v>
      </c>
      <c r="I10" s="90" t="n">
        <f aca="false">Speed</f>
        <v>13.5</v>
      </c>
      <c r="J10" s="88" t="n">
        <f aca="false">PortCostMult</f>
        <v>1</v>
      </c>
      <c r="K10" s="90" t="n">
        <f aca="false">EUA</f>
        <v>75</v>
      </c>
      <c r="L10" s="71" t="n">
        <f aca="false">INDEX(Routes!$E$6:$E$9,$C10)</f>
        <v>5000</v>
      </c>
      <c r="M10" s="72" t="n">
        <f aca="false">INDEX(Routes!$F$6:$F$9,$C10)/L10</f>
        <v>0.13</v>
      </c>
      <c r="N10" s="77" t="n">
        <f aca="false">2*L10*(1+SeaMargin)/(I10*24)</f>
        <v>32.4074074074074</v>
      </c>
      <c r="O10" s="84" t="n">
        <f aca="false">(I10/RefSpeed)^SpeedExp</f>
        <v>1</v>
      </c>
      <c r="P10" s="2" t="n">
        <f aca="false">IF(H10&gt;0,1,0)</f>
        <v>1</v>
      </c>
      <c r="Q10" s="71" t="n">
        <f aca="false">N10/2*O10*(ConsLaden+IF(P10=1,ConsLaden,ConsBallast))</f>
        <v>875</v>
      </c>
      <c r="R10" s="71" t="n">
        <f aca="false">Q10*(1-M10)</f>
        <v>761.25</v>
      </c>
      <c r="S10" s="71" t="n">
        <f aca="false">Q10*M10</f>
        <v>113.75</v>
      </c>
      <c r="T10" s="2" t="n">
        <f aca="false">1+P10</f>
        <v>2</v>
      </c>
      <c r="U10" s="77" t="n">
        <f aca="false">INDEX(Routes!$L$6:$L$9,$C10)*T10*F10</f>
        <v>10</v>
      </c>
      <c r="V10" s="77" t="n">
        <f aca="false">INDEX(Routes!$M$6:$M$9,$C10)*T10*F10</f>
        <v>7</v>
      </c>
      <c r="W10" s="77" t="n">
        <f aca="false">INDEX(Routes!$H$6:$H$9,$C10)*2</f>
        <v>0</v>
      </c>
      <c r="X10" s="71" t="n">
        <f aca="false">(U10+V10+W10)*ConsPort</f>
        <v>102</v>
      </c>
      <c r="Y10" s="67" t="n">
        <f aca="false">R10*D10*VLSFO_Mult+(S10+X10)*D10*MGO_Mult</f>
        <v>652340.344</v>
      </c>
      <c r="Z10" s="67" t="n">
        <f aca="false">(INDEX(Routes!$N$6:$N$9,$C10)+AN10+MIN(AC10*INDEX(Routes!$T$6:$T$9,$C10),INDEX(Routes!$V$6:$V$9,$C10))+INDEX(Routes!$O$6:$O$9,$C10)+AO10+MIN(AC10*INDEX(Routes!$U$6:$U$9,$C10),INDEX(Routes!$W$6:$W$9,$C10))+IF(P10=1,INDEX(Routes!$N$6:$N$9,$C10)+AN10+MIN(AD10*INDEX(Routes!$T$6:$T$9,$C10),INDEX(Routes!$V$6:$V$9,$C10))+INDEX(Routes!$O$6:$O$9,$C10)+AO10+MIN(AD10*INDEX(Routes!$U$6:$U$9,$C10),INDEX(Routes!$W$6:$W$9,$C10)),0))*J10</f>
        <v>252304.2096</v>
      </c>
      <c r="AA10" s="67" t="n">
        <f aca="false">INDEX(Routes!$R$6:$R$9,$C10)+IF(P10=1,INDEX(Routes!$R$6:$R$9,$C10),INDEX(Routes!$S$6:$S$9,$C10))</f>
        <v>0</v>
      </c>
      <c r="AB10" s="67" t="n">
        <f aca="false">((R10*CO2_VLSFO+S10*CO2_MGO)*INDEX(Routes!$I$6:$I$9,$C10)+(U10*INDEX(Routes!$P$6:$P$9,$C10)+V10*INDEX(Routes!$Q$6:$Q$9,$C10))*ConsPort*CO2_MGO)*PhaseIn*K10*FX</f>
        <v>123936.40875</v>
      </c>
      <c r="AC10" s="71" t="n">
        <f aca="false">Capacity*G10</f>
        <v>30600</v>
      </c>
      <c r="AD10" s="71" t="n">
        <f aca="false">Capacity*H10</f>
        <v>18000</v>
      </c>
      <c r="AE10" s="82" t="n">
        <f aca="false">INDEX(Routes!$J$6:$J$9,$C10)*E10</f>
        <v>65</v>
      </c>
      <c r="AF10" s="82" t="n">
        <f aca="false">INDEX(Routes!$K$6:$K$9,$C10)*E10</f>
        <v>47.5</v>
      </c>
      <c r="AG10" s="67" t="n">
        <f aca="false">AC10*AE10+AD10*AF10</f>
        <v>2844000</v>
      </c>
      <c r="AH10" s="67" t="n">
        <f aca="false">AG10*Commission</f>
        <v>71100</v>
      </c>
      <c r="AI10" s="67" t="n">
        <f aca="false">Y10+Z10+AA10+AB10+MiscVoy</f>
        <v>1053580.96235</v>
      </c>
      <c r="AJ10" s="77" t="n">
        <f aca="false">N10+U10+V10+W10</f>
        <v>49.4074074074074</v>
      </c>
      <c r="AK10" s="94" t="n">
        <f aca="false">(AG10-AH10-AI10)/AJ10</f>
        <v>34798.8111068591</v>
      </c>
      <c r="AL10" s="67" t="n">
        <f aca="false">AG10-AH10-AI10-Benchmark*AJ10</f>
        <v>829985.704316667</v>
      </c>
      <c r="AM10" s="82" t="n">
        <f aca="false">IF(AC10&gt;0,((Benchmark*AJ10+AI10)/(1-Commission)-AD10*AF10)/AC10,0)</f>
        <v>37.1808042796492</v>
      </c>
      <c r="AN10" s="67" t="n">
        <f aca="false">LOA_ft*Port_Tariffs!$C$9*IF((INDEX(Routes!$L$6:$L$9,$C10)*INDEX(Routes!$X$6:$X$9,$C10)*F10)&lt;=2,(INDEX(Routes!$L$6:$L$9,$C10)*INDEX(Routes!$X$6:$X$9,$C10)*F10),IF((INDEX(Routes!$L$6:$L$9,$C10)*INDEX(Routes!$X$6:$X$9,$C10)*F10)&lt;=3,2+0.9*((INDEX(Routes!$L$6:$L$9,$C10)*INDEX(Routes!$X$6:$X$9,$C10)*F10)-2),IF((INDEX(Routes!$L$6:$L$9,$C10)*INDEX(Routes!$X$6:$X$9,$C10)*F10)&lt;=4,2.9+0.75*((INDEX(Routes!$L$6:$L$9,$C10)*INDEX(Routes!$X$6:$X$9,$C10)*F10)-3),IF((INDEX(Routes!$L$6:$L$9,$C10)*INDEX(Routes!$X$6:$X$9,$C10)*F10)&lt;=5,3.65+0.6*((INDEX(Routes!$L$6:$L$9,$C10)*INDEX(Routes!$X$6:$X$9,$C10)*F10)-4),4.25+0.5*((INDEX(Routes!$L$6:$L$9,$C10)*INDEX(Routes!$X$6:$X$9,$C10)*F10)-5)))))</f>
        <v>19557.6</v>
      </c>
      <c r="AO10" s="67" t="n">
        <f aca="false">LOA_ft*Port_Tariffs!$C$9*IF((INDEX(Routes!$M$6:$M$9,$C10)*INDEX(Routes!$Y$6:$Y$9,$C10)*F10)&lt;=2,(INDEX(Routes!$M$6:$M$9,$C10)*INDEX(Routes!$Y$6:$Y$9,$C10)*F10),IF((INDEX(Routes!$M$6:$M$9,$C10)*INDEX(Routes!$Y$6:$Y$9,$C10)*F10)&lt;=3,2+0.9*((INDEX(Routes!$M$6:$M$9,$C10)*INDEX(Routes!$Y$6:$Y$9,$C10)*F10)-2),IF((INDEX(Routes!$M$6:$M$9,$C10)*INDEX(Routes!$Y$6:$Y$9,$C10)*F10)&lt;=4,2.9+0.75*((INDEX(Routes!$M$6:$M$9,$C10)*INDEX(Routes!$Y$6:$Y$9,$C10)*F10)-3),IF((INDEX(Routes!$M$6:$M$9,$C10)*INDEX(Routes!$Y$6:$Y$9,$C10)*F10)&lt;=5,3.65+0.6*((INDEX(Routes!$M$6:$M$9,$C10)*INDEX(Routes!$Y$6:$Y$9,$C10)*F10)-4),4.25+0.5*((INDEX(Routes!$M$6:$M$9,$C10)*INDEX(Routes!$Y$6:$Y$9,$C10)*F10)-5)))))</f>
        <v>0</v>
      </c>
    </row>
    <row r="11" customFormat="false" ht="15" hidden="false" customHeight="false" outlineLevel="0" collapsed="false">
      <c r="A11" s="2" t="s">
        <v>505</v>
      </c>
      <c r="B11" s="2" t="s">
        <v>503</v>
      </c>
      <c r="C11" s="16" t="n">
        <f aca="false">Sw_Route</f>
        <v>1</v>
      </c>
      <c r="D11" s="93" t="n">
        <f aca="false">Brent_P10</f>
        <v>67.98</v>
      </c>
      <c r="E11" s="88" t="n">
        <f aca="false">FreightMult</f>
        <v>1</v>
      </c>
      <c r="F11" s="88" t="n">
        <f aca="false">PortMult</f>
        <v>1</v>
      </c>
      <c r="G11" s="89" t="n">
        <f aca="false">UtilFH</f>
        <v>0.85</v>
      </c>
      <c r="H11" s="89" t="n">
        <f aca="false">UtilBH</f>
        <v>0.5</v>
      </c>
      <c r="I11" s="90" t="n">
        <f aca="false">Speed</f>
        <v>13.5</v>
      </c>
      <c r="J11" s="88" t="n">
        <f aca="false">PortCostMult</f>
        <v>1</v>
      </c>
      <c r="K11" s="90" t="n">
        <f aca="false">EUA</f>
        <v>75</v>
      </c>
      <c r="L11" s="71" t="n">
        <f aca="false">INDEX(Routes!$E$6:$E$9,$C11)</f>
        <v>5000</v>
      </c>
      <c r="M11" s="72" t="n">
        <f aca="false">INDEX(Routes!$F$6:$F$9,$C11)/L11</f>
        <v>0.13</v>
      </c>
      <c r="N11" s="77" t="n">
        <f aca="false">2*L11*(1+SeaMargin)/(I11*24)</f>
        <v>32.4074074074074</v>
      </c>
      <c r="O11" s="84" t="n">
        <f aca="false">(I11/RefSpeed)^SpeedExp</f>
        <v>1</v>
      </c>
      <c r="P11" s="2" t="n">
        <f aca="false">IF(H11&gt;0,1,0)</f>
        <v>1</v>
      </c>
      <c r="Q11" s="71" t="n">
        <f aca="false">N11/2*O11*(ConsLaden+IF(P11=1,ConsLaden,ConsBallast))</f>
        <v>875</v>
      </c>
      <c r="R11" s="71" t="n">
        <f aca="false">Q11*(1-M11)</f>
        <v>761.25</v>
      </c>
      <c r="S11" s="71" t="n">
        <f aca="false">Q11*M11</f>
        <v>113.75</v>
      </c>
      <c r="T11" s="2" t="n">
        <f aca="false">1+P11</f>
        <v>2</v>
      </c>
      <c r="U11" s="77" t="n">
        <f aca="false">INDEX(Routes!$L$6:$L$9,$C11)*T11*F11</f>
        <v>10</v>
      </c>
      <c r="V11" s="77" t="n">
        <f aca="false">INDEX(Routes!$M$6:$M$9,$C11)*T11*F11</f>
        <v>7</v>
      </c>
      <c r="W11" s="77" t="n">
        <f aca="false">INDEX(Routes!$H$6:$H$9,$C11)*2</f>
        <v>0</v>
      </c>
      <c r="X11" s="71" t="n">
        <f aca="false">(U11+V11+W11)*ConsPort</f>
        <v>102</v>
      </c>
      <c r="Y11" s="67" t="n">
        <f aca="false">R11*D11*VLSFO_Mult+(S11+X11)*D11*MGO_Mult</f>
        <v>540740.112</v>
      </c>
      <c r="Z11" s="67" t="n">
        <f aca="false">(INDEX(Routes!$N$6:$N$9,$C11)+AN11+MIN(AC11*INDEX(Routes!$T$6:$T$9,$C11),INDEX(Routes!$V$6:$V$9,$C11))+INDEX(Routes!$O$6:$O$9,$C11)+AO11+MIN(AC11*INDEX(Routes!$U$6:$U$9,$C11),INDEX(Routes!$W$6:$W$9,$C11))+IF(P11=1,INDEX(Routes!$N$6:$N$9,$C11)+AN11+MIN(AD11*INDEX(Routes!$T$6:$T$9,$C11),INDEX(Routes!$V$6:$V$9,$C11))+INDEX(Routes!$O$6:$O$9,$C11)+AO11+MIN(AD11*INDEX(Routes!$U$6:$U$9,$C11),INDEX(Routes!$W$6:$W$9,$C11)),0))*J11</f>
        <v>252304.2096</v>
      </c>
      <c r="AA11" s="67" t="n">
        <f aca="false">INDEX(Routes!$R$6:$R$9,$C11)+IF(P11=1,INDEX(Routes!$R$6:$R$9,$C11),INDEX(Routes!$S$6:$S$9,$C11))</f>
        <v>0</v>
      </c>
      <c r="AB11" s="67" t="n">
        <f aca="false">((R11*CO2_VLSFO+S11*CO2_MGO)*INDEX(Routes!$I$6:$I$9,$C11)+(U11*INDEX(Routes!$P$6:$P$9,$C11)+V11*INDEX(Routes!$Q$6:$Q$9,$C11))*ConsPort*CO2_MGO)*PhaseIn*K11*FX</f>
        <v>123936.40875</v>
      </c>
      <c r="AC11" s="71" t="n">
        <f aca="false">Capacity*G11</f>
        <v>30600</v>
      </c>
      <c r="AD11" s="71" t="n">
        <f aca="false">Capacity*H11</f>
        <v>18000</v>
      </c>
      <c r="AE11" s="82" t="n">
        <f aca="false">INDEX(Routes!$J$6:$J$9,$C11)*E11</f>
        <v>52</v>
      </c>
      <c r="AF11" s="82" t="n">
        <f aca="false">INDEX(Routes!$K$6:$K$9,$C11)*E11</f>
        <v>38</v>
      </c>
      <c r="AG11" s="67" t="n">
        <f aca="false">AC11*AE11+AD11*AF11</f>
        <v>2275200</v>
      </c>
      <c r="AH11" s="67" t="n">
        <f aca="false">AG11*Commission</f>
        <v>56880</v>
      </c>
      <c r="AI11" s="67" t="n">
        <f aca="false">Y11+Z11+AA11+AB11+MiscVoy</f>
        <v>941980.73035</v>
      </c>
      <c r="AJ11" s="77" t="n">
        <f aca="false">N11+U11+V11+W11</f>
        <v>49.4074074074074</v>
      </c>
      <c r="AK11" s="94" t="n">
        <f aca="false">(AG11-AH11-AI11)/AJ11</f>
        <v>25832.9537335457</v>
      </c>
      <c r="AL11" s="67" t="n">
        <f aca="false">AG11-AH11-AI11-Benchmark*AJ11</f>
        <v>387005.936316667</v>
      </c>
      <c r="AM11" s="82" t="n">
        <f aca="false">IF(AC11&gt;0,((Benchmark*AJ11+AI11)/(1-Commission)-AD11*AF11)/AC11,0)</f>
        <v>39.0284586453271</v>
      </c>
      <c r="AN11" s="67" t="n">
        <f aca="false">LOA_ft*Port_Tariffs!$C$9*IF((INDEX(Routes!$L$6:$L$9,$C11)*INDEX(Routes!$X$6:$X$9,$C11)*F11)&lt;=2,(INDEX(Routes!$L$6:$L$9,$C11)*INDEX(Routes!$X$6:$X$9,$C11)*F11),IF((INDEX(Routes!$L$6:$L$9,$C11)*INDEX(Routes!$X$6:$X$9,$C11)*F11)&lt;=3,2+0.9*((INDEX(Routes!$L$6:$L$9,$C11)*INDEX(Routes!$X$6:$X$9,$C11)*F11)-2),IF((INDEX(Routes!$L$6:$L$9,$C11)*INDEX(Routes!$X$6:$X$9,$C11)*F11)&lt;=4,2.9+0.75*((INDEX(Routes!$L$6:$L$9,$C11)*INDEX(Routes!$X$6:$X$9,$C11)*F11)-3),IF((INDEX(Routes!$L$6:$L$9,$C11)*INDEX(Routes!$X$6:$X$9,$C11)*F11)&lt;=5,3.65+0.6*((INDEX(Routes!$L$6:$L$9,$C11)*INDEX(Routes!$X$6:$X$9,$C11)*F11)-4),4.25+0.5*((INDEX(Routes!$L$6:$L$9,$C11)*INDEX(Routes!$X$6:$X$9,$C11)*F11)-5)))))</f>
        <v>19557.6</v>
      </c>
      <c r="AO11" s="67" t="n">
        <f aca="false">LOA_ft*Port_Tariffs!$C$9*IF((INDEX(Routes!$M$6:$M$9,$C11)*INDEX(Routes!$Y$6:$Y$9,$C11)*F11)&lt;=2,(INDEX(Routes!$M$6:$M$9,$C11)*INDEX(Routes!$Y$6:$Y$9,$C11)*F11),IF((INDEX(Routes!$M$6:$M$9,$C11)*INDEX(Routes!$Y$6:$Y$9,$C11)*F11)&lt;=3,2+0.9*((INDEX(Routes!$M$6:$M$9,$C11)*INDEX(Routes!$Y$6:$Y$9,$C11)*F11)-2),IF((INDEX(Routes!$M$6:$M$9,$C11)*INDEX(Routes!$Y$6:$Y$9,$C11)*F11)&lt;=4,2.9+0.75*((INDEX(Routes!$M$6:$M$9,$C11)*INDEX(Routes!$Y$6:$Y$9,$C11)*F11)-3),IF((INDEX(Routes!$M$6:$M$9,$C11)*INDEX(Routes!$Y$6:$Y$9,$C11)*F11)&lt;=5,3.65+0.6*((INDEX(Routes!$M$6:$M$9,$C11)*INDEX(Routes!$Y$6:$Y$9,$C11)*F11)-4),4.25+0.5*((INDEX(Routes!$M$6:$M$9,$C11)*INDEX(Routes!$Y$6:$Y$9,$C11)*F11)-5)))))</f>
        <v>0</v>
      </c>
    </row>
    <row r="12" customFormat="false" ht="15" hidden="false" customHeight="false" outlineLevel="0" collapsed="false">
      <c r="A12" s="2" t="s">
        <v>506</v>
      </c>
      <c r="B12" s="2" t="s">
        <v>503</v>
      </c>
      <c r="C12" s="16" t="n">
        <f aca="false">Sw_Route</f>
        <v>1</v>
      </c>
      <c r="D12" s="93" t="n">
        <f aca="false">Brent_P90</f>
        <v>104.84</v>
      </c>
      <c r="E12" s="88" t="n">
        <f aca="false">FreightMult</f>
        <v>1</v>
      </c>
      <c r="F12" s="88" t="n">
        <f aca="false">PortMult</f>
        <v>1</v>
      </c>
      <c r="G12" s="89" t="n">
        <f aca="false">UtilFH</f>
        <v>0.85</v>
      </c>
      <c r="H12" s="89" t="n">
        <f aca="false">UtilBH</f>
        <v>0.5</v>
      </c>
      <c r="I12" s="90" t="n">
        <f aca="false">Speed</f>
        <v>13.5</v>
      </c>
      <c r="J12" s="88" t="n">
        <f aca="false">PortCostMult</f>
        <v>1</v>
      </c>
      <c r="K12" s="90" t="n">
        <f aca="false">EUA</f>
        <v>75</v>
      </c>
      <c r="L12" s="71" t="n">
        <f aca="false">INDEX(Routes!$E$6:$E$9,$C12)</f>
        <v>5000</v>
      </c>
      <c r="M12" s="72" t="n">
        <f aca="false">INDEX(Routes!$F$6:$F$9,$C12)/L12</f>
        <v>0.13</v>
      </c>
      <c r="N12" s="77" t="n">
        <f aca="false">2*L12*(1+SeaMargin)/(I12*24)</f>
        <v>32.4074074074074</v>
      </c>
      <c r="O12" s="84" t="n">
        <f aca="false">(I12/RefSpeed)^SpeedExp</f>
        <v>1</v>
      </c>
      <c r="P12" s="2" t="n">
        <f aca="false">IF(H12&gt;0,1,0)</f>
        <v>1</v>
      </c>
      <c r="Q12" s="71" t="n">
        <f aca="false">N12/2*O12*(ConsLaden+IF(P12=1,ConsLaden,ConsBallast))</f>
        <v>875</v>
      </c>
      <c r="R12" s="71" t="n">
        <f aca="false">Q12*(1-M12)</f>
        <v>761.25</v>
      </c>
      <c r="S12" s="71" t="n">
        <f aca="false">Q12*M12</f>
        <v>113.75</v>
      </c>
      <c r="T12" s="2" t="n">
        <f aca="false">1+P12</f>
        <v>2</v>
      </c>
      <c r="U12" s="77" t="n">
        <f aca="false">INDEX(Routes!$L$6:$L$9,$C12)*T12*F12</f>
        <v>10</v>
      </c>
      <c r="V12" s="77" t="n">
        <f aca="false">INDEX(Routes!$M$6:$M$9,$C12)*T12*F12</f>
        <v>7</v>
      </c>
      <c r="W12" s="77" t="n">
        <f aca="false">INDEX(Routes!$H$6:$H$9,$C12)*2</f>
        <v>0</v>
      </c>
      <c r="X12" s="71" t="n">
        <f aca="false">(U12+V12+W12)*ConsPort</f>
        <v>102</v>
      </c>
      <c r="Y12" s="67" t="n">
        <f aca="false">R12*D12*VLSFO_Mult+(S12+X12)*D12*MGO_Mult</f>
        <v>833939.296</v>
      </c>
      <c r="Z12" s="67" t="n">
        <f aca="false">(INDEX(Routes!$N$6:$N$9,$C12)+AN12+MIN(AC12*INDEX(Routes!$T$6:$T$9,$C12),INDEX(Routes!$V$6:$V$9,$C12))+INDEX(Routes!$O$6:$O$9,$C12)+AO12+MIN(AC12*INDEX(Routes!$U$6:$U$9,$C12),INDEX(Routes!$W$6:$W$9,$C12))+IF(P12=1,INDEX(Routes!$N$6:$N$9,$C12)+AN12+MIN(AD12*INDEX(Routes!$T$6:$T$9,$C12),INDEX(Routes!$V$6:$V$9,$C12))+INDEX(Routes!$O$6:$O$9,$C12)+AO12+MIN(AD12*INDEX(Routes!$U$6:$U$9,$C12),INDEX(Routes!$W$6:$W$9,$C12)),0))*J12</f>
        <v>252304.2096</v>
      </c>
      <c r="AA12" s="67" t="n">
        <f aca="false">INDEX(Routes!$R$6:$R$9,$C12)+IF(P12=1,INDEX(Routes!$R$6:$R$9,$C12),INDEX(Routes!$S$6:$S$9,$C12))</f>
        <v>0</v>
      </c>
      <c r="AB12" s="67" t="n">
        <f aca="false">((R12*CO2_VLSFO+S12*CO2_MGO)*INDEX(Routes!$I$6:$I$9,$C12)+(U12*INDEX(Routes!$P$6:$P$9,$C12)+V12*INDEX(Routes!$Q$6:$Q$9,$C12))*ConsPort*CO2_MGO)*PhaseIn*K12*FX</f>
        <v>123936.40875</v>
      </c>
      <c r="AC12" s="71" t="n">
        <f aca="false">Capacity*G12</f>
        <v>30600</v>
      </c>
      <c r="AD12" s="71" t="n">
        <f aca="false">Capacity*H12</f>
        <v>18000</v>
      </c>
      <c r="AE12" s="82" t="n">
        <f aca="false">INDEX(Routes!$J$6:$J$9,$C12)*E12</f>
        <v>52</v>
      </c>
      <c r="AF12" s="82" t="n">
        <f aca="false">INDEX(Routes!$K$6:$K$9,$C12)*E12</f>
        <v>38</v>
      </c>
      <c r="AG12" s="67" t="n">
        <f aca="false">AC12*AE12+AD12*AF12</f>
        <v>2275200</v>
      </c>
      <c r="AH12" s="67" t="n">
        <f aca="false">AG12*Commission</f>
        <v>56880</v>
      </c>
      <c r="AI12" s="67" t="n">
        <f aca="false">Y12+Z12+AA12+AB12+MiscVoy</f>
        <v>1235179.91435</v>
      </c>
      <c r="AJ12" s="77" t="n">
        <f aca="false">N12+U12+V12+W12</f>
        <v>49.4074074074074</v>
      </c>
      <c r="AK12" s="94" t="n">
        <f aca="false">(AG12-AH12-AI12)/AJ12</f>
        <v>19898.6374157047</v>
      </c>
      <c r="AL12" s="67" t="n">
        <f aca="false">AG12-AH12-AI12-Benchmark*AJ12</f>
        <v>93806.7523166668</v>
      </c>
      <c r="AM12" s="82" t="n">
        <f aca="false">IF(AC12&gt;0,((Benchmark*AJ12+AI12)/(1-Commission)-AD12*AF12)/AC12,0)</f>
        <v>48.8558152399307</v>
      </c>
      <c r="AN12" s="67" t="n">
        <f aca="false">LOA_ft*Port_Tariffs!$C$9*IF((INDEX(Routes!$L$6:$L$9,$C12)*INDEX(Routes!$X$6:$X$9,$C12)*F12)&lt;=2,(INDEX(Routes!$L$6:$L$9,$C12)*INDEX(Routes!$X$6:$X$9,$C12)*F12),IF((INDEX(Routes!$L$6:$L$9,$C12)*INDEX(Routes!$X$6:$X$9,$C12)*F12)&lt;=3,2+0.9*((INDEX(Routes!$L$6:$L$9,$C12)*INDEX(Routes!$X$6:$X$9,$C12)*F12)-2),IF((INDEX(Routes!$L$6:$L$9,$C12)*INDEX(Routes!$X$6:$X$9,$C12)*F12)&lt;=4,2.9+0.75*((INDEX(Routes!$L$6:$L$9,$C12)*INDEX(Routes!$X$6:$X$9,$C12)*F12)-3),IF((INDEX(Routes!$L$6:$L$9,$C12)*INDEX(Routes!$X$6:$X$9,$C12)*F12)&lt;=5,3.65+0.6*((INDEX(Routes!$L$6:$L$9,$C12)*INDEX(Routes!$X$6:$X$9,$C12)*F12)-4),4.25+0.5*((INDEX(Routes!$L$6:$L$9,$C12)*INDEX(Routes!$X$6:$X$9,$C12)*F12)-5)))))</f>
        <v>19557.6</v>
      </c>
      <c r="AO12" s="67" t="n">
        <f aca="false">LOA_ft*Port_Tariffs!$C$9*IF((INDEX(Routes!$M$6:$M$9,$C12)*INDEX(Routes!$Y$6:$Y$9,$C12)*F12)&lt;=2,(INDEX(Routes!$M$6:$M$9,$C12)*INDEX(Routes!$Y$6:$Y$9,$C12)*F12),IF((INDEX(Routes!$M$6:$M$9,$C12)*INDEX(Routes!$Y$6:$Y$9,$C12)*F12)&lt;=3,2+0.9*((INDEX(Routes!$M$6:$M$9,$C12)*INDEX(Routes!$Y$6:$Y$9,$C12)*F12)-2),IF((INDEX(Routes!$M$6:$M$9,$C12)*INDEX(Routes!$Y$6:$Y$9,$C12)*F12)&lt;=4,2.9+0.75*((INDEX(Routes!$M$6:$M$9,$C12)*INDEX(Routes!$Y$6:$Y$9,$C12)*F12)-3),IF((INDEX(Routes!$M$6:$M$9,$C12)*INDEX(Routes!$Y$6:$Y$9,$C12)*F12)&lt;=5,3.65+0.6*((INDEX(Routes!$M$6:$M$9,$C12)*INDEX(Routes!$Y$6:$Y$9,$C12)*F12)-4),4.25+0.5*((INDEX(Routes!$M$6:$M$9,$C12)*INDEX(Routes!$Y$6:$Y$9,$C12)*F12)-5)))))</f>
        <v>0</v>
      </c>
    </row>
    <row r="13" customFormat="false" ht="15" hidden="false" customHeight="false" outlineLevel="0" collapsed="false">
      <c r="A13" s="2" t="s">
        <v>507</v>
      </c>
      <c r="B13" s="2" t="s">
        <v>503</v>
      </c>
      <c r="C13" s="16" t="n">
        <f aca="false">Sw_Route</f>
        <v>1</v>
      </c>
      <c r="D13" s="93" t="n">
        <f aca="false">Brent</f>
        <v>82.01</v>
      </c>
      <c r="E13" s="88" t="n">
        <f aca="false">FreightMult</f>
        <v>1</v>
      </c>
      <c r="F13" s="92" t="n">
        <v>0.75</v>
      </c>
      <c r="G13" s="89" t="n">
        <f aca="false">UtilFH</f>
        <v>0.85</v>
      </c>
      <c r="H13" s="89" t="n">
        <f aca="false">UtilBH</f>
        <v>0.5</v>
      </c>
      <c r="I13" s="90" t="n">
        <f aca="false">Speed</f>
        <v>13.5</v>
      </c>
      <c r="J13" s="88" t="n">
        <f aca="false">PortCostMult</f>
        <v>1</v>
      </c>
      <c r="K13" s="90" t="n">
        <f aca="false">EUA</f>
        <v>75</v>
      </c>
      <c r="L13" s="71" t="n">
        <f aca="false">INDEX(Routes!$E$6:$E$9,$C13)</f>
        <v>5000</v>
      </c>
      <c r="M13" s="72" t="n">
        <f aca="false">INDEX(Routes!$F$6:$F$9,$C13)/L13</f>
        <v>0.13</v>
      </c>
      <c r="N13" s="77" t="n">
        <f aca="false">2*L13*(1+SeaMargin)/(I13*24)</f>
        <v>32.4074074074074</v>
      </c>
      <c r="O13" s="84" t="n">
        <f aca="false">(I13/RefSpeed)^SpeedExp</f>
        <v>1</v>
      </c>
      <c r="P13" s="2" t="n">
        <f aca="false">IF(H13&gt;0,1,0)</f>
        <v>1</v>
      </c>
      <c r="Q13" s="71" t="n">
        <f aca="false">N13/2*O13*(ConsLaden+IF(P13=1,ConsLaden,ConsBallast))</f>
        <v>875</v>
      </c>
      <c r="R13" s="71" t="n">
        <f aca="false">Q13*(1-M13)</f>
        <v>761.25</v>
      </c>
      <c r="S13" s="71" t="n">
        <f aca="false">Q13*M13</f>
        <v>113.75</v>
      </c>
      <c r="T13" s="2" t="n">
        <f aca="false">1+P13</f>
        <v>2</v>
      </c>
      <c r="U13" s="77" t="n">
        <f aca="false">INDEX(Routes!$L$6:$L$9,$C13)*T13*F13</f>
        <v>7.5</v>
      </c>
      <c r="V13" s="77" t="n">
        <f aca="false">INDEX(Routes!$M$6:$M$9,$C13)*T13*F13</f>
        <v>5.25</v>
      </c>
      <c r="W13" s="77" t="n">
        <f aca="false">INDEX(Routes!$H$6:$H$9,$C13)*2</f>
        <v>0</v>
      </c>
      <c r="X13" s="71" t="n">
        <f aca="false">(U13+V13+W13)*ConsPort</f>
        <v>76.5</v>
      </c>
      <c r="Y13" s="67" t="n">
        <f aca="false">R13*D13*VLSFO_Mult+(S13+X13)*D13*MGO_Mult</f>
        <v>632055.1705</v>
      </c>
      <c r="Z13" s="67" t="n">
        <f aca="false">(INDEX(Routes!$N$6:$N$9,$C13)+AN13+MIN(AC13*INDEX(Routes!$T$6:$T$9,$C13),INDEX(Routes!$V$6:$V$9,$C13))+INDEX(Routes!$O$6:$O$9,$C13)+AO13+MIN(AC13*INDEX(Routes!$U$6:$U$9,$C13),INDEX(Routes!$W$6:$W$9,$C13))+IF(P13=1,INDEX(Routes!$N$6:$N$9,$C13)+AN13+MIN(AD13*INDEX(Routes!$T$6:$T$9,$C13),INDEX(Routes!$V$6:$V$9,$C13))+INDEX(Routes!$O$6:$O$9,$C13)+AO13+MIN(AD13*INDEX(Routes!$U$6:$U$9,$C13),INDEX(Routes!$W$6:$W$9,$C13)),0))*J13</f>
        <v>243199.8096</v>
      </c>
      <c r="AA13" s="67" t="n">
        <f aca="false">INDEX(Routes!$R$6:$R$9,$C13)+IF(P13=1,INDEX(Routes!$R$6:$R$9,$C13),INDEX(Routes!$S$6:$S$9,$C13))</f>
        <v>0</v>
      </c>
      <c r="AB13" s="67" t="n">
        <f aca="false">((R13*CO2_VLSFO+S13*CO2_MGO)*INDEX(Routes!$I$6:$I$9,$C13)+(U13*INDEX(Routes!$P$6:$P$9,$C13)+V13*INDEX(Routes!$Q$6:$Q$9,$C13))*ConsPort*CO2_MGO)*PhaseIn*K13*FX</f>
        <v>121159.21125</v>
      </c>
      <c r="AC13" s="71" t="n">
        <f aca="false">Capacity*G13</f>
        <v>30600</v>
      </c>
      <c r="AD13" s="71" t="n">
        <f aca="false">Capacity*H13</f>
        <v>18000</v>
      </c>
      <c r="AE13" s="82" t="n">
        <f aca="false">INDEX(Routes!$J$6:$J$9,$C13)*E13</f>
        <v>52</v>
      </c>
      <c r="AF13" s="82" t="n">
        <f aca="false">INDEX(Routes!$K$6:$K$9,$C13)*E13</f>
        <v>38</v>
      </c>
      <c r="AG13" s="67" t="n">
        <f aca="false">AC13*AE13+AD13*AF13</f>
        <v>2275200</v>
      </c>
      <c r="AH13" s="67" t="n">
        <f aca="false">AG13*Commission</f>
        <v>56880</v>
      </c>
      <c r="AI13" s="67" t="n">
        <f aca="false">Y13+Z13+AA13+AB13+MiscVoy</f>
        <v>1021414.19135</v>
      </c>
      <c r="AJ13" s="77" t="n">
        <f aca="false">N13+U13+V13+W13</f>
        <v>45.1574074074074</v>
      </c>
      <c r="AK13" s="94" t="n">
        <f aca="false">(AG13-AH13-AI13)/AJ13</f>
        <v>26505.1932200533</v>
      </c>
      <c r="AL13" s="67" t="n">
        <f aca="false">AG13-AH13-AI13-Benchmark*AJ13</f>
        <v>384072.475316667</v>
      </c>
      <c r="AM13" s="82" t="n">
        <f aca="false">IF(AC13&gt;0,((Benchmark*AJ13+AI13)/(1-Commission)-AD13*AF13)/AC13,0)</f>
        <v>39.1267814541087</v>
      </c>
      <c r="AN13" s="67" t="n">
        <f aca="false">LOA_ft*Port_Tariffs!$C$9*IF((INDEX(Routes!$L$6:$L$9,$C13)*INDEX(Routes!$X$6:$X$9,$C13)*F13)&lt;=2,(INDEX(Routes!$L$6:$L$9,$C13)*INDEX(Routes!$X$6:$X$9,$C13)*F13),IF((INDEX(Routes!$L$6:$L$9,$C13)*INDEX(Routes!$X$6:$X$9,$C13)*F13)&lt;=3,2+0.9*((INDEX(Routes!$L$6:$L$9,$C13)*INDEX(Routes!$X$6:$X$9,$C13)*F13)-2),IF((INDEX(Routes!$L$6:$L$9,$C13)*INDEX(Routes!$X$6:$X$9,$C13)*F13)&lt;=4,2.9+0.75*((INDEX(Routes!$L$6:$L$9,$C13)*INDEX(Routes!$X$6:$X$9,$C13)*F13)-3),IF((INDEX(Routes!$L$6:$L$9,$C13)*INDEX(Routes!$X$6:$X$9,$C13)*F13)&lt;=5,3.65+0.6*((INDEX(Routes!$L$6:$L$9,$C13)*INDEX(Routes!$X$6:$X$9,$C13)*F13)-4),4.25+0.5*((INDEX(Routes!$L$6:$L$9,$C13)*INDEX(Routes!$X$6:$X$9,$C13)*F13)-5)))))</f>
        <v>15005.4</v>
      </c>
      <c r="AO13" s="67" t="n">
        <f aca="false">LOA_ft*Port_Tariffs!$C$9*IF((INDEX(Routes!$M$6:$M$9,$C13)*INDEX(Routes!$Y$6:$Y$9,$C13)*F13)&lt;=2,(INDEX(Routes!$M$6:$M$9,$C13)*INDEX(Routes!$Y$6:$Y$9,$C13)*F13),IF((INDEX(Routes!$M$6:$M$9,$C13)*INDEX(Routes!$Y$6:$Y$9,$C13)*F13)&lt;=3,2+0.9*((INDEX(Routes!$M$6:$M$9,$C13)*INDEX(Routes!$Y$6:$Y$9,$C13)*F13)-2),IF((INDEX(Routes!$M$6:$M$9,$C13)*INDEX(Routes!$Y$6:$Y$9,$C13)*F13)&lt;=4,2.9+0.75*((INDEX(Routes!$M$6:$M$9,$C13)*INDEX(Routes!$Y$6:$Y$9,$C13)*F13)-3),IF((INDEX(Routes!$M$6:$M$9,$C13)*INDEX(Routes!$Y$6:$Y$9,$C13)*F13)&lt;=5,3.65+0.6*((INDEX(Routes!$M$6:$M$9,$C13)*INDEX(Routes!$Y$6:$Y$9,$C13)*F13)-4),4.25+0.5*((INDEX(Routes!$M$6:$M$9,$C13)*INDEX(Routes!$Y$6:$Y$9,$C13)*F13)-5)))))</f>
        <v>0</v>
      </c>
    </row>
    <row r="14" customFormat="false" ht="15" hidden="false" customHeight="false" outlineLevel="0" collapsed="false">
      <c r="A14" s="2" t="s">
        <v>508</v>
      </c>
      <c r="B14" s="2" t="s">
        <v>503</v>
      </c>
      <c r="C14" s="16" t="n">
        <f aca="false">Sw_Route</f>
        <v>1</v>
      </c>
      <c r="D14" s="93" t="n">
        <f aca="false">Brent</f>
        <v>82.01</v>
      </c>
      <c r="E14" s="88" t="n">
        <f aca="false">FreightMult</f>
        <v>1</v>
      </c>
      <c r="F14" s="92" t="n">
        <v>1.75</v>
      </c>
      <c r="G14" s="89" t="n">
        <f aca="false">UtilFH</f>
        <v>0.85</v>
      </c>
      <c r="H14" s="89" t="n">
        <f aca="false">UtilBH</f>
        <v>0.5</v>
      </c>
      <c r="I14" s="90" t="n">
        <f aca="false">Speed</f>
        <v>13.5</v>
      </c>
      <c r="J14" s="88" t="n">
        <f aca="false">PortCostMult</f>
        <v>1</v>
      </c>
      <c r="K14" s="90" t="n">
        <f aca="false">EUA</f>
        <v>75</v>
      </c>
      <c r="L14" s="71" t="n">
        <f aca="false">INDEX(Routes!$E$6:$E$9,$C14)</f>
        <v>5000</v>
      </c>
      <c r="M14" s="72" t="n">
        <f aca="false">INDEX(Routes!$F$6:$F$9,$C14)/L14</f>
        <v>0.13</v>
      </c>
      <c r="N14" s="77" t="n">
        <f aca="false">2*L14*(1+SeaMargin)/(I14*24)</f>
        <v>32.4074074074074</v>
      </c>
      <c r="O14" s="84" t="n">
        <f aca="false">(I14/RefSpeed)^SpeedExp</f>
        <v>1</v>
      </c>
      <c r="P14" s="2" t="n">
        <f aca="false">IF(H14&gt;0,1,0)</f>
        <v>1</v>
      </c>
      <c r="Q14" s="71" t="n">
        <f aca="false">N14/2*O14*(ConsLaden+IF(P14=1,ConsLaden,ConsBallast))</f>
        <v>875</v>
      </c>
      <c r="R14" s="71" t="n">
        <f aca="false">Q14*(1-M14)</f>
        <v>761.25</v>
      </c>
      <c r="S14" s="71" t="n">
        <f aca="false">Q14*M14</f>
        <v>113.75</v>
      </c>
      <c r="T14" s="2" t="n">
        <f aca="false">1+P14</f>
        <v>2</v>
      </c>
      <c r="U14" s="77" t="n">
        <f aca="false">INDEX(Routes!$L$6:$L$9,$C14)*T14*F14</f>
        <v>17.5</v>
      </c>
      <c r="V14" s="77" t="n">
        <f aca="false">INDEX(Routes!$M$6:$M$9,$C14)*T14*F14</f>
        <v>12.25</v>
      </c>
      <c r="W14" s="77" t="n">
        <f aca="false">INDEX(Routes!$H$6:$H$9,$C14)*2</f>
        <v>0</v>
      </c>
      <c r="X14" s="71" t="n">
        <f aca="false">(U14+V14+W14)*ConsPort</f>
        <v>178.5</v>
      </c>
      <c r="Y14" s="67" t="n">
        <f aca="false">R14*D14*VLSFO_Mult+(S14+X14)*D14*MGO_Mult</f>
        <v>713195.8645</v>
      </c>
      <c r="Z14" s="67" t="n">
        <f aca="false">(INDEX(Routes!$N$6:$N$9,$C14)+AN14+MIN(AC14*INDEX(Routes!$T$6:$T$9,$C14),INDEX(Routes!$V$6:$V$9,$C14))+INDEX(Routes!$O$6:$O$9,$C14)+AO14+MIN(AC14*INDEX(Routes!$U$6:$U$9,$C14),INDEX(Routes!$W$6:$W$9,$C14))+IF(P14=1,INDEX(Routes!$N$6:$N$9,$C14)+AN14+MIN(AD14*INDEX(Routes!$T$6:$T$9,$C14),INDEX(Routes!$V$6:$V$9,$C14))+INDEX(Routes!$O$6:$O$9,$C14)+AO14+MIN(AD14*INDEX(Routes!$U$6:$U$9,$C14),INDEX(Routes!$W$6:$W$9,$C14)),0))*J14</f>
        <v>272199.0096</v>
      </c>
      <c r="AA14" s="67" t="n">
        <f aca="false">INDEX(Routes!$R$6:$R$9,$C14)+IF(P14=1,INDEX(Routes!$R$6:$R$9,$C14),INDEX(Routes!$S$6:$S$9,$C14))</f>
        <v>0</v>
      </c>
      <c r="AB14" s="67" t="n">
        <f aca="false">((R14*CO2_VLSFO+S14*CO2_MGO)*INDEX(Routes!$I$6:$I$9,$C14)+(U14*INDEX(Routes!$P$6:$P$9,$C14)+V14*INDEX(Routes!$Q$6:$Q$9,$C14))*ConsPort*CO2_MGO)*PhaseIn*K14*FX</f>
        <v>132268.00125</v>
      </c>
      <c r="AC14" s="71" t="n">
        <f aca="false">Capacity*G14</f>
        <v>30600</v>
      </c>
      <c r="AD14" s="71" t="n">
        <f aca="false">Capacity*H14</f>
        <v>18000</v>
      </c>
      <c r="AE14" s="82" t="n">
        <f aca="false">INDEX(Routes!$J$6:$J$9,$C14)*E14</f>
        <v>52</v>
      </c>
      <c r="AF14" s="82" t="n">
        <f aca="false">INDEX(Routes!$K$6:$K$9,$C14)*E14</f>
        <v>38</v>
      </c>
      <c r="AG14" s="67" t="n">
        <f aca="false">AC14*AE14+AD14*AF14</f>
        <v>2275200</v>
      </c>
      <c r="AH14" s="67" t="n">
        <f aca="false">AG14*Commission</f>
        <v>56880</v>
      </c>
      <c r="AI14" s="67" t="n">
        <f aca="false">Y14+Z14+AA14+AB14+MiscVoy</f>
        <v>1142662.87535</v>
      </c>
      <c r="AJ14" s="77" t="n">
        <f aca="false">N14+U14+V14+W14</f>
        <v>62.1574074074074</v>
      </c>
      <c r="AK14" s="94" t="n">
        <f aca="false">(AG14-AH14-AI14)/AJ14</f>
        <v>17305.3730764487</v>
      </c>
      <c r="AL14" s="67" t="n">
        <f aca="false">AG14-AH14-AI14-Benchmark*AJ14</f>
        <v>-43176.2086833331</v>
      </c>
      <c r="AM14" s="82" t="n">
        <f aca="false">IF(AC14&gt;0,((Benchmark*AJ14+AI14)/(1-Commission)-AD14*AF14)/AC14,0)</f>
        <v>53.4471663711525</v>
      </c>
      <c r="AN14" s="67" t="n">
        <f aca="false">LOA_ft*Port_Tariffs!$C$9*IF((INDEX(Routes!$L$6:$L$9,$C14)*INDEX(Routes!$X$6:$X$9,$C14)*F14)&lt;=2,(INDEX(Routes!$L$6:$L$9,$C14)*INDEX(Routes!$X$6:$X$9,$C14)*F14),IF((INDEX(Routes!$L$6:$L$9,$C14)*INDEX(Routes!$X$6:$X$9,$C14)*F14)&lt;=3,2+0.9*((INDEX(Routes!$L$6:$L$9,$C14)*INDEX(Routes!$X$6:$X$9,$C14)*F14)-2),IF((INDEX(Routes!$L$6:$L$9,$C14)*INDEX(Routes!$X$6:$X$9,$C14)*F14)&lt;=4,2.9+0.75*((INDEX(Routes!$L$6:$L$9,$C14)*INDEX(Routes!$X$6:$X$9,$C14)*F14)-3),IF((INDEX(Routes!$L$6:$L$9,$C14)*INDEX(Routes!$X$6:$X$9,$C14)*F14)&lt;=5,3.65+0.6*((INDEX(Routes!$L$6:$L$9,$C14)*INDEX(Routes!$X$6:$X$9,$C14)*F14)-4),4.25+0.5*((INDEX(Routes!$L$6:$L$9,$C14)*INDEX(Routes!$X$6:$X$9,$C14)*F14)-5)))))</f>
        <v>29505</v>
      </c>
      <c r="AO14" s="67" t="n">
        <f aca="false">LOA_ft*Port_Tariffs!$C$9*IF((INDEX(Routes!$M$6:$M$9,$C14)*INDEX(Routes!$Y$6:$Y$9,$C14)*F14)&lt;=2,(INDEX(Routes!$M$6:$M$9,$C14)*INDEX(Routes!$Y$6:$Y$9,$C14)*F14),IF((INDEX(Routes!$M$6:$M$9,$C14)*INDEX(Routes!$Y$6:$Y$9,$C14)*F14)&lt;=3,2+0.9*((INDEX(Routes!$M$6:$M$9,$C14)*INDEX(Routes!$Y$6:$Y$9,$C14)*F14)-2),IF((INDEX(Routes!$M$6:$M$9,$C14)*INDEX(Routes!$Y$6:$Y$9,$C14)*F14)&lt;=4,2.9+0.75*((INDEX(Routes!$M$6:$M$9,$C14)*INDEX(Routes!$Y$6:$Y$9,$C14)*F14)-3),IF((INDEX(Routes!$M$6:$M$9,$C14)*INDEX(Routes!$Y$6:$Y$9,$C14)*F14)&lt;=5,3.65+0.6*((INDEX(Routes!$M$6:$M$9,$C14)*INDEX(Routes!$Y$6:$Y$9,$C14)*F14)-4),4.25+0.5*((INDEX(Routes!$M$6:$M$9,$C14)*INDEX(Routes!$Y$6:$Y$9,$C14)*F14)-5)))))</f>
        <v>0</v>
      </c>
    </row>
    <row r="15" customFormat="false" ht="15" hidden="false" customHeight="false" outlineLevel="0" collapsed="false">
      <c r="A15" s="2" t="s">
        <v>509</v>
      </c>
      <c r="B15" s="2" t="s">
        <v>503</v>
      </c>
      <c r="C15" s="16" t="n">
        <f aca="false">Sw_Route</f>
        <v>1</v>
      </c>
      <c r="D15" s="93" t="n">
        <f aca="false">Brent</f>
        <v>82.01</v>
      </c>
      <c r="E15" s="88" t="n">
        <f aca="false">FreightMult</f>
        <v>1</v>
      </c>
      <c r="F15" s="88" t="n">
        <f aca="false">PortMult</f>
        <v>1</v>
      </c>
      <c r="G15" s="59" t="n">
        <v>0.7</v>
      </c>
      <c r="H15" s="89" t="n">
        <f aca="false">UtilBH</f>
        <v>0.5</v>
      </c>
      <c r="I15" s="90" t="n">
        <f aca="false">Speed</f>
        <v>13.5</v>
      </c>
      <c r="J15" s="88" t="n">
        <f aca="false">PortCostMult</f>
        <v>1</v>
      </c>
      <c r="K15" s="90" t="n">
        <f aca="false">EUA</f>
        <v>75</v>
      </c>
      <c r="L15" s="71" t="n">
        <f aca="false">INDEX(Routes!$E$6:$E$9,$C15)</f>
        <v>5000</v>
      </c>
      <c r="M15" s="72" t="n">
        <f aca="false">INDEX(Routes!$F$6:$F$9,$C15)/L15</f>
        <v>0.13</v>
      </c>
      <c r="N15" s="77" t="n">
        <f aca="false">2*L15*(1+SeaMargin)/(I15*24)</f>
        <v>32.4074074074074</v>
      </c>
      <c r="O15" s="84" t="n">
        <f aca="false">(I15/RefSpeed)^SpeedExp</f>
        <v>1</v>
      </c>
      <c r="P15" s="2" t="n">
        <f aca="false">IF(H15&gt;0,1,0)</f>
        <v>1</v>
      </c>
      <c r="Q15" s="71" t="n">
        <f aca="false">N15/2*O15*(ConsLaden+IF(P15=1,ConsLaden,ConsBallast))</f>
        <v>875</v>
      </c>
      <c r="R15" s="71" t="n">
        <f aca="false">Q15*(1-M15)</f>
        <v>761.25</v>
      </c>
      <c r="S15" s="71" t="n">
        <f aca="false">Q15*M15</f>
        <v>113.75</v>
      </c>
      <c r="T15" s="2" t="n">
        <f aca="false">1+P15</f>
        <v>2</v>
      </c>
      <c r="U15" s="77" t="n">
        <f aca="false">INDEX(Routes!$L$6:$L$9,$C15)*T15*F15</f>
        <v>10</v>
      </c>
      <c r="V15" s="77" t="n">
        <f aca="false">INDEX(Routes!$M$6:$M$9,$C15)*T15*F15</f>
        <v>7</v>
      </c>
      <c r="W15" s="77" t="n">
        <f aca="false">INDEX(Routes!$H$6:$H$9,$C15)*2</f>
        <v>0</v>
      </c>
      <c r="X15" s="71" t="n">
        <f aca="false">(U15+V15+W15)*ConsPort</f>
        <v>102</v>
      </c>
      <c r="Y15" s="67" t="n">
        <f aca="false">R15*D15*VLSFO_Mult+(S15+X15)*D15*MGO_Mult</f>
        <v>652340.344</v>
      </c>
      <c r="Z15" s="67" t="n">
        <f aca="false">(INDEX(Routes!$N$6:$N$9,$C15)+AN15+MIN(AC15*INDEX(Routes!$T$6:$T$9,$C15),INDEX(Routes!$V$6:$V$9,$C15))+INDEX(Routes!$O$6:$O$9,$C15)+AO15+MIN(AC15*INDEX(Routes!$U$6:$U$9,$C15),INDEX(Routes!$W$6:$W$9,$C15))+IF(P15=1,INDEX(Routes!$N$6:$N$9,$C15)+AN15+MIN(AD15*INDEX(Routes!$T$6:$T$9,$C15),INDEX(Routes!$V$6:$V$9,$C15))+INDEX(Routes!$O$6:$O$9,$C15)+AO15+MIN(AD15*INDEX(Routes!$U$6:$U$9,$C15),INDEX(Routes!$W$6:$W$9,$C15)),0))*J15</f>
        <v>248763.0192</v>
      </c>
      <c r="AA15" s="67" t="n">
        <f aca="false">INDEX(Routes!$R$6:$R$9,$C15)+IF(P15=1,INDEX(Routes!$R$6:$R$9,$C15),INDEX(Routes!$S$6:$S$9,$C15))</f>
        <v>0</v>
      </c>
      <c r="AB15" s="67" t="n">
        <f aca="false">((R15*CO2_VLSFO+S15*CO2_MGO)*INDEX(Routes!$I$6:$I$9,$C15)+(U15*INDEX(Routes!$P$6:$P$9,$C15)+V15*INDEX(Routes!$Q$6:$Q$9,$C15))*ConsPort*CO2_MGO)*PhaseIn*K15*FX</f>
        <v>123936.40875</v>
      </c>
      <c r="AC15" s="71" t="n">
        <f aca="false">Capacity*G15</f>
        <v>25200</v>
      </c>
      <c r="AD15" s="71" t="n">
        <f aca="false">Capacity*H15</f>
        <v>18000</v>
      </c>
      <c r="AE15" s="82" t="n">
        <f aca="false">INDEX(Routes!$J$6:$J$9,$C15)*E15</f>
        <v>52</v>
      </c>
      <c r="AF15" s="82" t="n">
        <f aca="false">INDEX(Routes!$K$6:$K$9,$C15)*E15</f>
        <v>38</v>
      </c>
      <c r="AG15" s="67" t="n">
        <f aca="false">AC15*AE15+AD15*AF15</f>
        <v>1994400</v>
      </c>
      <c r="AH15" s="67" t="n">
        <f aca="false">AG15*Commission</f>
        <v>49860</v>
      </c>
      <c r="AI15" s="67" t="n">
        <f aca="false">Y15+Z15+AA15+AB15+MiscVoy</f>
        <v>1050039.77195</v>
      </c>
      <c r="AJ15" s="77" t="n">
        <f aca="false">N15+U15+V15+W15</f>
        <v>49.4074074074074</v>
      </c>
      <c r="AK15" s="94" t="n">
        <f aca="false">(AG15-AH15-AI15)/AJ15</f>
        <v>18104.5773293478</v>
      </c>
      <c r="AL15" s="67" t="n">
        <f aca="false">AG15-AH15-AI15-Benchmark*AJ15</f>
        <v>5166.89471666678</v>
      </c>
      <c r="AM15" s="82" t="n">
        <f aca="false">IF(AC15&gt;0,((Benchmark*AJ15+AI15)/(1-Commission)-AD15*AF15)/AC15,0)</f>
        <v>51.7897071747388</v>
      </c>
      <c r="AN15" s="67" t="n">
        <f aca="false">LOA_ft*Port_Tariffs!$C$9*IF((INDEX(Routes!$L$6:$L$9,$C15)*INDEX(Routes!$X$6:$X$9,$C15)*F15)&lt;=2,(INDEX(Routes!$L$6:$L$9,$C15)*INDEX(Routes!$X$6:$X$9,$C15)*F15),IF((INDEX(Routes!$L$6:$L$9,$C15)*INDEX(Routes!$X$6:$X$9,$C15)*F15)&lt;=3,2+0.9*((INDEX(Routes!$L$6:$L$9,$C15)*INDEX(Routes!$X$6:$X$9,$C15)*F15)-2),IF((INDEX(Routes!$L$6:$L$9,$C15)*INDEX(Routes!$X$6:$X$9,$C15)*F15)&lt;=4,2.9+0.75*((INDEX(Routes!$L$6:$L$9,$C15)*INDEX(Routes!$X$6:$X$9,$C15)*F15)-3),IF((INDEX(Routes!$L$6:$L$9,$C15)*INDEX(Routes!$X$6:$X$9,$C15)*F15)&lt;=5,3.65+0.6*((INDEX(Routes!$L$6:$L$9,$C15)*INDEX(Routes!$X$6:$X$9,$C15)*F15)-4),4.25+0.5*((INDEX(Routes!$L$6:$L$9,$C15)*INDEX(Routes!$X$6:$X$9,$C15)*F15)-5)))))</f>
        <v>19557.6</v>
      </c>
      <c r="AO15" s="67" t="n">
        <f aca="false">LOA_ft*Port_Tariffs!$C$9*IF((INDEX(Routes!$M$6:$M$9,$C15)*INDEX(Routes!$Y$6:$Y$9,$C15)*F15)&lt;=2,(INDEX(Routes!$M$6:$M$9,$C15)*INDEX(Routes!$Y$6:$Y$9,$C15)*F15),IF((INDEX(Routes!$M$6:$M$9,$C15)*INDEX(Routes!$Y$6:$Y$9,$C15)*F15)&lt;=3,2+0.9*((INDEX(Routes!$M$6:$M$9,$C15)*INDEX(Routes!$Y$6:$Y$9,$C15)*F15)-2),IF((INDEX(Routes!$M$6:$M$9,$C15)*INDEX(Routes!$Y$6:$Y$9,$C15)*F15)&lt;=4,2.9+0.75*((INDEX(Routes!$M$6:$M$9,$C15)*INDEX(Routes!$Y$6:$Y$9,$C15)*F15)-3),IF((INDEX(Routes!$M$6:$M$9,$C15)*INDEX(Routes!$Y$6:$Y$9,$C15)*F15)&lt;=5,3.65+0.6*((INDEX(Routes!$M$6:$M$9,$C15)*INDEX(Routes!$Y$6:$Y$9,$C15)*F15)-4),4.25+0.5*((INDEX(Routes!$M$6:$M$9,$C15)*INDEX(Routes!$Y$6:$Y$9,$C15)*F15)-5)))))</f>
        <v>0</v>
      </c>
    </row>
    <row r="16" customFormat="false" ht="15" hidden="false" customHeight="false" outlineLevel="0" collapsed="false">
      <c r="A16" s="2" t="s">
        <v>510</v>
      </c>
      <c r="B16" s="2" t="s">
        <v>503</v>
      </c>
      <c r="C16" s="16" t="n">
        <f aca="false">Sw_Route</f>
        <v>1</v>
      </c>
      <c r="D16" s="93" t="n">
        <f aca="false">Brent</f>
        <v>82.01</v>
      </c>
      <c r="E16" s="88" t="n">
        <f aca="false">FreightMult</f>
        <v>1</v>
      </c>
      <c r="F16" s="88" t="n">
        <f aca="false">PortMult</f>
        <v>1</v>
      </c>
      <c r="G16" s="59" t="n">
        <v>0.95</v>
      </c>
      <c r="H16" s="89" t="n">
        <f aca="false">UtilBH</f>
        <v>0.5</v>
      </c>
      <c r="I16" s="90" t="n">
        <f aca="false">Speed</f>
        <v>13.5</v>
      </c>
      <c r="J16" s="88" t="n">
        <f aca="false">PortCostMult</f>
        <v>1</v>
      </c>
      <c r="K16" s="90" t="n">
        <f aca="false">EUA</f>
        <v>75</v>
      </c>
      <c r="L16" s="71" t="n">
        <f aca="false">INDEX(Routes!$E$6:$E$9,$C16)</f>
        <v>5000</v>
      </c>
      <c r="M16" s="72" t="n">
        <f aca="false">INDEX(Routes!$F$6:$F$9,$C16)/L16</f>
        <v>0.13</v>
      </c>
      <c r="N16" s="77" t="n">
        <f aca="false">2*L16*(1+SeaMargin)/(I16*24)</f>
        <v>32.4074074074074</v>
      </c>
      <c r="O16" s="84" t="n">
        <f aca="false">(I16/RefSpeed)^SpeedExp</f>
        <v>1</v>
      </c>
      <c r="P16" s="2" t="n">
        <f aca="false">IF(H16&gt;0,1,0)</f>
        <v>1</v>
      </c>
      <c r="Q16" s="71" t="n">
        <f aca="false">N16/2*O16*(ConsLaden+IF(P16=1,ConsLaden,ConsBallast))</f>
        <v>875</v>
      </c>
      <c r="R16" s="71" t="n">
        <f aca="false">Q16*(1-M16)</f>
        <v>761.25</v>
      </c>
      <c r="S16" s="71" t="n">
        <f aca="false">Q16*M16</f>
        <v>113.75</v>
      </c>
      <c r="T16" s="2" t="n">
        <f aca="false">1+P16</f>
        <v>2</v>
      </c>
      <c r="U16" s="77" t="n">
        <f aca="false">INDEX(Routes!$L$6:$L$9,$C16)*T16*F16</f>
        <v>10</v>
      </c>
      <c r="V16" s="77" t="n">
        <f aca="false">INDEX(Routes!$M$6:$M$9,$C16)*T16*F16</f>
        <v>7</v>
      </c>
      <c r="W16" s="77" t="n">
        <f aca="false">INDEX(Routes!$H$6:$H$9,$C16)*2</f>
        <v>0</v>
      </c>
      <c r="X16" s="71" t="n">
        <f aca="false">(U16+V16+W16)*ConsPort</f>
        <v>102</v>
      </c>
      <c r="Y16" s="67" t="n">
        <f aca="false">R16*D16*VLSFO_Mult+(S16+X16)*D16*MGO_Mult</f>
        <v>652340.344</v>
      </c>
      <c r="Z16" s="67" t="n">
        <f aca="false">(INDEX(Routes!$N$6:$N$9,$C16)+AN16+MIN(AC16*INDEX(Routes!$T$6:$T$9,$C16),INDEX(Routes!$V$6:$V$9,$C16))+INDEX(Routes!$O$6:$O$9,$C16)+AO16+MIN(AC16*INDEX(Routes!$U$6:$U$9,$C16),INDEX(Routes!$W$6:$W$9,$C16))+IF(P16=1,INDEX(Routes!$N$6:$N$9,$C16)+AN16+MIN(AD16*INDEX(Routes!$T$6:$T$9,$C16),INDEX(Routes!$V$6:$V$9,$C16))+INDEX(Routes!$O$6:$O$9,$C16)+AO16+MIN(AD16*INDEX(Routes!$U$6:$U$9,$C16),INDEX(Routes!$W$6:$W$9,$C16)),0))*J16</f>
        <v>252779.975088</v>
      </c>
      <c r="AA16" s="67" t="n">
        <f aca="false">INDEX(Routes!$R$6:$R$9,$C16)+IF(P16=1,INDEX(Routes!$R$6:$R$9,$C16),INDEX(Routes!$S$6:$S$9,$C16))</f>
        <v>0</v>
      </c>
      <c r="AB16" s="67" t="n">
        <f aca="false">((R16*CO2_VLSFO+S16*CO2_MGO)*INDEX(Routes!$I$6:$I$9,$C16)+(U16*INDEX(Routes!$P$6:$P$9,$C16)+V16*INDEX(Routes!$Q$6:$Q$9,$C16))*ConsPort*CO2_MGO)*PhaseIn*K16*FX</f>
        <v>123936.40875</v>
      </c>
      <c r="AC16" s="71" t="n">
        <f aca="false">Capacity*G16</f>
        <v>34200</v>
      </c>
      <c r="AD16" s="71" t="n">
        <f aca="false">Capacity*H16</f>
        <v>18000</v>
      </c>
      <c r="AE16" s="82" t="n">
        <f aca="false">INDEX(Routes!$J$6:$J$9,$C16)*E16</f>
        <v>52</v>
      </c>
      <c r="AF16" s="82" t="n">
        <f aca="false">INDEX(Routes!$K$6:$K$9,$C16)*E16</f>
        <v>38</v>
      </c>
      <c r="AG16" s="67" t="n">
        <f aca="false">AC16*AE16+AD16*AF16</f>
        <v>2462400</v>
      </c>
      <c r="AH16" s="67" t="n">
        <f aca="false">AG16*Commission</f>
        <v>61560</v>
      </c>
      <c r="AI16" s="67" t="n">
        <f aca="false">Y16+Z16+AA16+AB16+MiscVoy</f>
        <v>1054056.727838</v>
      </c>
      <c r="AJ16" s="77" t="n">
        <f aca="false">N16+U16+V16+W16</f>
        <v>49.4074074074074</v>
      </c>
      <c r="AK16" s="94" t="n">
        <f aca="false">(AG16-AH16-AI16)/AJ16</f>
        <v>27258.7318953328</v>
      </c>
      <c r="AL16" s="67" t="n">
        <f aca="false">AG16-AH16-AI16-Benchmark*AJ16</f>
        <v>457449.938828667</v>
      </c>
      <c r="AM16" s="82" t="n">
        <f aca="false">IF(AC16&gt;0,((Benchmark*AJ16+AI16)/(1-Commission)-AD16*AF16)/AC16,0)</f>
        <v>38.2813033789574</v>
      </c>
      <c r="AN16" s="67" t="n">
        <f aca="false">LOA_ft*Port_Tariffs!$C$9*IF((INDEX(Routes!$L$6:$L$9,$C16)*INDEX(Routes!$X$6:$X$9,$C16)*F16)&lt;=2,(INDEX(Routes!$L$6:$L$9,$C16)*INDEX(Routes!$X$6:$X$9,$C16)*F16),IF((INDEX(Routes!$L$6:$L$9,$C16)*INDEX(Routes!$X$6:$X$9,$C16)*F16)&lt;=3,2+0.9*((INDEX(Routes!$L$6:$L$9,$C16)*INDEX(Routes!$X$6:$X$9,$C16)*F16)-2),IF((INDEX(Routes!$L$6:$L$9,$C16)*INDEX(Routes!$X$6:$X$9,$C16)*F16)&lt;=4,2.9+0.75*((INDEX(Routes!$L$6:$L$9,$C16)*INDEX(Routes!$X$6:$X$9,$C16)*F16)-3),IF((INDEX(Routes!$L$6:$L$9,$C16)*INDEX(Routes!$X$6:$X$9,$C16)*F16)&lt;=5,3.65+0.6*((INDEX(Routes!$L$6:$L$9,$C16)*INDEX(Routes!$X$6:$X$9,$C16)*F16)-4),4.25+0.5*((INDEX(Routes!$L$6:$L$9,$C16)*INDEX(Routes!$X$6:$X$9,$C16)*F16)-5)))))</f>
        <v>19557.6</v>
      </c>
      <c r="AO16" s="67" t="n">
        <f aca="false">LOA_ft*Port_Tariffs!$C$9*IF((INDEX(Routes!$M$6:$M$9,$C16)*INDEX(Routes!$Y$6:$Y$9,$C16)*F16)&lt;=2,(INDEX(Routes!$M$6:$M$9,$C16)*INDEX(Routes!$Y$6:$Y$9,$C16)*F16),IF((INDEX(Routes!$M$6:$M$9,$C16)*INDEX(Routes!$Y$6:$Y$9,$C16)*F16)&lt;=3,2+0.9*((INDEX(Routes!$M$6:$M$9,$C16)*INDEX(Routes!$Y$6:$Y$9,$C16)*F16)-2),IF((INDEX(Routes!$M$6:$M$9,$C16)*INDEX(Routes!$Y$6:$Y$9,$C16)*F16)&lt;=4,2.9+0.75*((INDEX(Routes!$M$6:$M$9,$C16)*INDEX(Routes!$Y$6:$Y$9,$C16)*F16)-3),IF((INDEX(Routes!$M$6:$M$9,$C16)*INDEX(Routes!$Y$6:$Y$9,$C16)*F16)&lt;=5,3.65+0.6*((INDEX(Routes!$M$6:$M$9,$C16)*INDEX(Routes!$Y$6:$Y$9,$C16)*F16)-4),4.25+0.5*((INDEX(Routes!$M$6:$M$9,$C16)*INDEX(Routes!$Y$6:$Y$9,$C16)*F16)-5)))))</f>
        <v>0</v>
      </c>
    </row>
    <row r="17" customFormat="false" ht="15" hidden="false" customHeight="false" outlineLevel="0" collapsed="false">
      <c r="A17" s="2" t="s">
        <v>511</v>
      </c>
      <c r="B17" s="2" t="s">
        <v>503</v>
      </c>
      <c r="C17" s="16" t="n">
        <f aca="false">Sw_Route</f>
        <v>1</v>
      </c>
      <c r="D17" s="93" t="n">
        <f aca="false">Brent</f>
        <v>82.01</v>
      </c>
      <c r="E17" s="88" t="n">
        <f aca="false">FreightMult</f>
        <v>1</v>
      </c>
      <c r="F17" s="88" t="n">
        <f aca="false">PortMult</f>
        <v>1</v>
      </c>
      <c r="G17" s="89" t="n">
        <f aca="false">UtilFH</f>
        <v>0.85</v>
      </c>
      <c r="H17" s="59" t="n">
        <v>0.25</v>
      </c>
      <c r="I17" s="90" t="n">
        <f aca="false">Speed</f>
        <v>13.5</v>
      </c>
      <c r="J17" s="88" t="n">
        <f aca="false">PortCostMult</f>
        <v>1</v>
      </c>
      <c r="K17" s="90" t="n">
        <f aca="false">EUA</f>
        <v>75</v>
      </c>
      <c r="L17" s="71" t="n">
        <f aca="false">INDEX(Routes!$E$6:$E$9,$C17)</f>
        <v>5000</v>
      </c>
      <c r="M17" s="72" t="n">
        <f aca="false">INDEX(Routes!$F$6:$F$9,$C17)/L17</f>
        <v>0.13</v>
      </c>
      <c r="N17" s="77" t="n">
        <f aca="false">2*L17*(1+SeaMargin)/(I17*24)</f>
        <v>32.4074074074074</v>
      </c>
      <c r="O17" s="84" t="n">
        <f aca="false">(I17/RefSpeed)^SpeedExp</f>
        <v>1</v>
      </c>
      <c r="P17" s="2" t="n">
        <f aca="false">IF(H17&gt;0,1,0)</f>
        <v>1</v>
      </c>
      <c r="Q17" s="71" t="n">
        <f aca="false">N17/2*O17*(ConsLaden+IF(P17=1,ConsLaden,ConsBallast))</f>
        <v>875</v>
      </c>
      <c r="R17" s="71" t="n">
        <f aca="false">Q17*(1-M17)</f>
        <v>761.25</v>
      </c>
      <c r="S17" s="71" t="n">
        <f aca="false">Q17*M17</f>
        <v>113.75</v>
      </c>
      <c r="T17" s="2" t="n">
        <f aca="false">1+P17</f>
        <v>2</v>
      </c>
      <c r="U17" s="77" t="n">
        <f aca="false">INDEX(Routes!$L$6:$L$9,$C17)*T17*F17</f>
        <v>10</v>
      </c>
      <c r="V17" s="77" t="n">
        <f aca="false">INDEX(Routes!$M$6:$M$9,$C17)*T17*F17</f>
        <v>7</v>
      </c>
      <c r="W17" s="77" t="n">
        <f aca="false">INDEX(Routes!$H$6:$H$9,$C17)*2</f>
        <v>0</v>
      </c>
      <c r="X17" s="71" t="n">
        <f aca="false">(U17+V17+W17)*ConsPort</f>
        <v>102</v>
      </c>
      <c r="Y17" s="67" t="n">
        <f aca="false">R17*D17*VLSFO_Mult+(S17+X17)*D17*MGO_Mult</f>
        <v>652340.344</v>
      </c>
      <c r="Z17" s="67" t="n">
        <f aca="false">(INDEX(Routes!$N$6:$N$9,$C17)+AN17+MIN(AC17*INDEX(Routes!$T$6:$T$9,$C17),INDEX(Routes!$V$6:$V$9,$C17))+INDEX(Routes!$O$6:$O$9,$C17)+AO17+MIN(AC17*INDEX(Routes!$U$6:$U$9,$C17),INDEX(Routes!$W$6:$W$9,$C17))+IF(P17=1,INDEX(Routes!$N$6:$N$9,$C17)+AN17+MIN(AD17*INDEX(Routes!$T$6:$T$9,$C17),INDEX(Routes!$V$6:$V$9,$C17))+INDEX(Routes!$O$6:$O$9,$C17)+AO17+MIN(AD17*INDEX(Routes!$U$6:$U$9,$C17),INDEX(Routes!$W$6:$W$9,$C17)),0))*J17</f>
        <v>246402.2256</v>
      </c>
      <c r="AA17" s="67" t="n">
        <f aca="false">INDEX(Routes!$R$6:$R$9,$C17)+IF(P17=1,INDEX(Routes!$R$6:$R$9,$C17),INDEX(Routes!$S$6:$S$9,$C17))</f>
        <v>0</v>
      </c>
      <c r="AB17" s="67" t="n">
        <f aca="false">((R17*CO2_VLSFO+S17*CO2_MGO)*INDEX(Routes!$I$6:$I$9,$C17)+(U17*INDEX(Routes!$P$6:$P$9,$C17)+V17*INDEX(Routes!$Q$6:$Q$9,$C17))*ConsPort*CO2_MGO)*PhaseIn*K17*FX</f>
        <v>123936.40875</v>
      </c>
      <c r="AC17" s="71" t="n">
        <f aca="false">Capacity*G17</f>
        <v>30600</v>
      </c>
      <c r="AD17" s="71" t="n">
        <f aca="false">Capacity*H17</f>
        <v>9000</v>
      </c>
      <c r="AE17" s="82" t="n">
        <f aca="false">INDEX(Routes!$J$6:$J$9,$C17)*E17</f>
        <v>52</v>
      </c>
      <c r="AF17" s="82" t="n">
        <f aca="false">INDEX(Routes!$K$6:$K$9,$C17)*E17</f>
        <v>38</v>
      </c>
      <c r="AG17" s="67" t="n">
        <f aca="false">AC17*AE17+AD17*AF17</f>
        <v>1933200</v>
      </c>
      <c r="AH17" s="67" t="n">
        <f aca="false">AG17*Commission</f>
        <v>48330</v>
      </c>
      <c r="AI17" s="67" t="n">
        <f aca="false">Y17+Z17+AA17+AB17+MiscVoy</f>
        <v>1047678.97835</v>
      </c>
      <c r="AJ17" s="77" t="n">
        <f aca="false">N17+U17+V17+W17</f>
        <v>49.4074074074074</v>
      </c>
      <c r="AK17" s="94" t="n">
        <f aca="false">(AG17-AH17-AI17)/AJ17</f>
        <v>16944.6458654798</v>
      </c>
      <c r="AL17" s="67" t="n">
        <f aca="false">AG17-AH17-AI17-Benchmark*AJ17</f>
        <v>-52142.3116833331</v>
      </c>
      <c r="AM17" s="82" t="n">
        <f aca="false">IF(AC17&gt;0,((Benchmark*AJ17+AI17)/(1-Commission)-AD17*AF17)/AC17,0)</f>
        <v>53.7476893475225</v>
      </c>
      <c r="AN17" s="67" t="n">
        <f aca="false">LOA_ft*Port_Tariffs!$C$9*IF((INDEX(Routes!$L$6:$L$9,$C17)*INDEX(Routes!$X$6:$X$9,$C17)*F17)&lt;=2,(INDEX(Routes!$L$6:$L$9,$C17)*INDEX(Routes!$X$6:$X$9,$C17)*F17),IF((INDEX(Routes!$L$6:$L$9,$C17)*INDEX(Routes!$X$6:$X$9,$C17)*F17)&lt;=3,2+0.9*((INDEX(Routes!$L$6:$L$9,$C17)*INDEX(Routes!$X$6:$X$9,$C17)*F17)-2),IF((INDEX(Routes!$L$6:$L$9,$C17)*INDEX(Routes!$X$6:$X$9,$C17)*F17)&lt;=4,2.9+0.75*((INDEX(Routes!$L$6:$L$9,$C17)*INDEX(Routes!$X$6:$X$9,$C17)*F17)-3),IF((INDEX(Routes!$L$6:$L$9,$C17)*INDEX(Routes!$X$6:$X$9,$C17)*F17)&lt;=5,3.65+0.6*((INDEX(Routes!$L$6:$L$9,$C17)*INDEX(Routes!$X$6:$X$9,$C17)*F17)-4),4.25+0.5*((INDEX(Routes!$L$6:$L$9,$C17)*INDEX(Routes!$X$6:$X$9,$C17)*F17)-5)))))</f>
        <v>19557.6</v>
      </c>
      <c r="AO17" s="67" t="n">
        <f aca="false">LOA_ft*Port_Tariffs!$C$9*IF((INDEX(Routes!$M$6:$M$9,$C17)*INDEX(Routes!$Y$6:$Y$9,$C17)*F17)&lt;=2,(INDEX(Routes!$M$6:$M$9,$C17)*INDEX(Routes!$Y$6:$Y$9,$C17)*F17),IF((INDEX(Routes!$M$6:$M$9,$C17)*INDEX(Routes!$Y$6:$Y$9,$C17)*F17)&lt;=3,2+0.9*((INDEX(Routes!$M$6:$M$9,$C17)*INDEX(Routes!$Y$6:$Y$9,$C17)*F17)-2),IF((INDEX(Routes!$M$6:$M$9,$C17)*INDEX(Routes!$Y$6:$Y$9,$C17)*F17)&lt;=4,2.9+0.75*((INDEX(Routes!$M$6:$M$9,$C17)*INDEX(Routes!$Y$6:$Y$9,$C17)*F17)-3),IF((INDEX(Routes!$M$6:$M$9,$C17)*INDEX(Routes!$Y$6:$Y$9,$C17)*F17)&lt;=5,3.65+0.6*((INDEX(Routes!$M$6:$M$9,$C17)*INDEX(Routes!$Y$6:$Y$9,$C17)*F17)-4),4.25+0.5*((INDEX(Routes!$M$6:$M$9,$C17)*INDEX(Routes!$Y$6:$Y$9,$C17)*F17)-5)))))</f>
        <v>0</v>
      </c>
    </row>
    <row r="18" customFormat="false" ht="15" hidden="false" customHeight="false" outlineLevel="0" collapsed="false">
      <c r="A18" s="2" t="s">
        <v>512</v>
      </c>
      <c r="B18" s="2" t="s">
        <v>503</v>
      </c>
      <c r="C18" s="16" t="n">
        <f aca="false">Sw_Route</f>
        <v>1</v>
      </c>
      <c r="D18" s="93" t="n">
        <f aca="false">Brent</f>
        <v>82.01</v>
      </c>
      <c r="E18" s="88" t="n">
        <f aca="false">FreightMult</f>
        <v>1</v>
      </c>
      <c r="F18" s="88" t="n">
        <f aca="false">PortMult</f>
        <v>1</v>
      </c>
      <c r="G18" s="89" t="n">
        <f aca="false">UtilFH</f>
        <v>0.85</v>
      </c>
      <c r="H18" s="59" t="n">
        <v>0.75</v>
      </c>
      <c r="I18" s="90" t="n">
        <f aca="false">Speed</f>
        <v>13.5</v>
      </c>
      <c r="J18" s="88" t="n">
        <f aca="false">PortCostMult</f>
        <v>1</v>
      </c>
      <c r="K18" s="90" t="n">
        <f aca="false">EUA</f>
        <v>75</v>
      </c>
      <c r="L18" s="71" t="n">
        <f aca="false">INDEX(Routes!$E$6:$E$9,$C18)</f>
        <v>5000</v>
      </c>
      <c r="M18" s="72" t="n">
        <f aca="false">INDEX(Routes!$F$6:$F$9,$C18)/L18</f>
        <v>0.13</v>
      </c>
      <c r="N18" s="77" t="n">
        <f aca="false">2*L18*(1+SeaMargin)/(I18*24)</f>
        <v>32.4074074074074</v>
      </c>
      <c r="O18" s="84" t="n">
        <f aca="false">(I18/RefSpeed)^SpeedExp</f>
        <v>1</v>
      </c>
      <c r="P18" s="2" t="n">
        <f aca="false">IF(H18&gt;0,1,0)</f>
        <v>1</v>
      </c>
      <c r="Q18" s="71" t="n">
        <f aca="false">N18/2*O18*(ConsLaden+IF(P18=1,ConsLaden,ConsBallast))</f>
        <v>875</v>
      </c>
      <c r="R18" s="71" t="n">
        <f aca="false">Q18*(1-M18)</f>
        <v>761.25</v>
      </c>
      <c r="S18" s="71" t="n">
        <f aca="false">Q18*M18</f>
        <v>113.75</v>
      </c>
      <c r="T18" s="2" t="n">
        <f aca="false">1+P18</f>
        <v>2</v>
      </c>
      <c r="U18" s="77" t="n">
        <f aca="false">INDEX(Routes!$L$6:$L$9,$C18)*T18*F18</f>
        <v>10</v>
      </c>
      <c r="V18" s="77" t="n">
        <f aca="false">INDEX(Routes!$M$6:$M$9,$C18)*T18*F18</f>
        <v>7</v>
      </c>
      <c r="W18" s="77" t="n">
        <f aca="false">INDEX(Routes!$H$6:$H$9,$C18)*2</f>
        <v>0</v>
      </c>
      <c r="X18" s="71" t="n">
        <f aca="false">(U18+V18+W18)*ConsPort</f>
        <v>102</v>
      </c>
      <c r="Y18" s="67" t="n">
        <f aca="false">R18*D18*VLSFO_Mult+(S18+X18)*D18*MGO_Mult</f>
        <v>652340.344</v>
      </c>
      <c r="Z18" s="67" t="n">
        <f aca="false">(INDEX(Routes!$N$6:$N$9,$C18)+AN18+MIN(AC18*INDEX(Routes!$T$6:$T$9,$C18),INDEX(Routes!$V$6:$V$9,$C18))+INDEX(Routes!$O$6:$O$9,$C18)+AO18+MIN(AC18*INDEX(Routes!$U$6:$U$9,$C18),INDEX(Routes!$W$6:$W$9,$C18))+IF(P18=1,INDEX(Routes!$N$6:$N$9,$C18)+AN18+MIN(AD18*INDEX(Routes!$T$6:$T$9,$C18),INDEX(Routes!$V$6:$V$9,$C18))+INDEX(Routes!$O$6:$O$9,$C18)+AO18+MIN(AD18*INDEX(Routes!$U$6:$U$9,$C18),INDEX(Routes!$W$6:$W$9,$C18)),0))*J18</f>
        <v>258206.1936</v>
      </c>
      <c r="AA18" s="67" t="n">
        <f aca="false">INDEX(Routes!$R$6:$R$9,$C18)+IF(P18=1,INDEX(Routes!$R$6:$R$9,$C18),INDEX(Routes!$S$6:$S$9,$C18))</f>
        <v>0</v>
      </c>
      <c r="AB18" s="67" t="n">
        <f aca="false">((R18*CO2_VLSFO+S18*CO2_MGO)*INDEX(Routes!$I$6:$I$9,$C18)+(U18*INDEX(Routes!$P$6:$P$9,$C18)+V18*INDEX(Routes!$Q$6:$Q$9,$C18))*ConsPort*CO2_MGO)*PhaseIn*K18*FX</f>
        <v>123936.40875</v>
      </c>
      <c r="AC18" s="71" t="n">
        <f aca="false">Capacity*G18</f>
        <v>30600</v>
      </c>
      <c r="AD18" s="71" t="n">
        <f aca="false">Capacity*H18</f>
        <v>27000</v>
      </c>
      <c r="AE18" s="82" t="n">
        <f aca="false">INDEX(Routes!$J$6:$J$9,$C18)*E18</f>
        <v>52</v>
      </c>
      <c r="AF18" s="82" t="n">
        <f aca="false">INDEX(Routes!$K$6:$K$9,$C18)*E18</f>
        <v>38</v>
      </c>
      <c r="AG18" s="67" t="n">
        <f aca="false">AC18*AE18+AD18*AF18</f>
        <v>2617200</v>
      </c>
      <c r="AH18" s="67" t="n">
        <f aca="false">AG18*Commission</f>
        <v>65430</v>
      </c>
      <c r="AI18" s="67" t="n">
        <f aca="false">Y18+Z18+AA18+AB18+MiscVoy</f>
        <v>1059482.94635</v>
      </c>
      <c r="AJ18" s="77" t="n">
        <f aca="false">N18+U18+V18+W18</f>
        <v>49.4074074074074</v>
      </c>
      <c r="AK18" s="94" t="n">
        <f aca="false">(AG18-AH18-AI18)/AJ18</f>
        <v>30203.710980922</v>
      </c>
      <c r="AL18" s="67" t="n">
        <f aca="false">AG18-AH18-AI18-Benchmark*AJ18</f>
        <v>602953.720316667</v>
      </c>
      <c r="AM18" s="82" t="n">
        <f aca="false">IF(AC18&gt;0,((Benchmark*AJ18+AI18)/(1-Commission)-AD18*AF18)/AC18,0)</f>
        <v>31.7903898000112</v>
      </c>
      <c r="AN18" s="67" t="n">
        <f aca="false">LOA_ft*Port_Tariffs!$C$9*IF((INDEX(Routes!$L$6:$L$9,$C18)*INDEX(Routes!$X$6:$X$9,$C18)*F18)&lt;=2,(INDEX(Routes!$L$6:$L$9,$C18)*INDEX(Routes!$X$6:$X$9,$C18)*F18),IF((INDEX(Routes!$L$6:$L$9,$C18)*INDEX(Routes!$X$6:$X$9,$C18)*F18)&lt;=3,2+0.9*((INDEX(Routes!$L$6:$L$9,$C18)*INDEX(Routes!$X$6:$X$9,$C18)*F18)-2),IF((INDEX(Routes!$L$6:$L$9,$C18)*INDEX(Routes!$X$6:$X$9,$C18)*F18)&lt;=4,2.9+0.75*((INDEX(Routes!$L$6:$L$9,$C18)*INDEX(Routes!$X$6:$X$9,$C18)*F18)-3),IF((INDEX(Routes!$L$6:$L$9,$C18)*INDEX(Routes!$X$6:$X$9,$C18)*F18)&lt;=5,3.65+0.6*((INDEX(Routes!$L$6:$L$9,$C18)*INDEX(Routes!$X$6:$X$9,$C18)*F18)-4),4.25+0.5*((INDEX(Routes!$L$6:$L$9,$C18)*INDEX(Routes!$X$6:$X$9,$C18)*F18)-5)))))</f>
        <v>19557.6</v>
      </c>
      <c r="AO18" s="67" t="n">
        <f aca="false">LOA_ft*Port_Tariffs!$C$9*IF((INDEX(Routes!$M$6:$M$9,$C18)*INDEX(Routes!$Y$6:$Y$9,$C18)*F18)&lt;=2,(INDEX(Routes!$M$6:$M$9,$C18)*INDEX(Routes!$Y$6:$Y$9,$C18)*F18),IF((INDEX(Routes!$M$6:$M$9,$C18)*INDEX(Routes!$Y$6:$Y$9,$C18)*F18)&lt;=3,2+0.9*((INDEX(Routes!$M$6:$M$9,$C18)*INDEX(Routes!$Y$6:$Y$9,$C18)*F18)-2),IF((INDEX(Routes!$M$6:$M$9,$C18)*INDEX(Routes!$Y$6:$Y$9,$C18)*F18)&lt;=4,2.9+0.75*((INDEX(Routes!$M$6:$M$9,$C18)*INDEX(Routes!$Y$6:$Y$9,$C18)*F18)-3),IF((INDEX(Routes!$M$6:$M$9,$C18)*INDEX(Routes!$Y$6:$Y$9,$C18)*F18)&lt;=5,3.65+0.6*((INDEX(Routes!$M$6:$M$9,$C18)*INDEX(Routes!$Y$6:$Y$9,$C18)*F18)-4),4.25+0.5*((INDEX(Routes!$M$6:$M$9,$C18)*INDEX(Routes!$Y$6:$Y$9,$C18)*F18)-5)))))</f>
        <v>0</v>
      </c>
    </row>
    <row r="19" customFormat="false" ht="15" hidden="false" customHeight="false" outlineLevel="0" collapsed="false">
      <c r="A19" s="2" t="s">
        <v>513</v>
      </c>
      <c r="B19" s="2" t="s">
        <v>503</v>
      </c>
      <c r="C19" s="16" t="n">
        <f aca="false">Sw_Route</f>
        <v>1</v>
      </c>
      <c r="D19" s="93" t="n">
        <f aca="false">Brent</f>
        <v>82.01</v>
      </c>
      <c r="E19" s="88" t="n">
        <f aca="false">FreightMult</f>
        <v>1</v>
      </c>
      <c r="F19" s="88" t="n">
        <f aca="false">PortMult</f>
        <v>1</v>
      </c>
      <c r="G19" s="89" t="n">
        <f aca="false">UtilFH</f>
        <v>0.85</v>
      </c>
      <c r="H19" s="89" t="n">
        <f aca="false">UtilBH</f>
        <v>0.5</v>
      </c>
      <c r="I19" s="95" t="n">
        <v>12</v>
      </c>
      <c r="J19" s="88" t="n">
        <f aca="false">PortCostMult</f>
        <v>1</v>
      </c>
      <c r="K19" s="90" t="n">
        <f aca="false">EUA</f>
        <v>75</v>
      </c>
      <c r="L19" s="71" t="n">
        <f aca="false">INDEX(Routes!$E$6:$E$9,$C19)</f>
        <v>5000</v>
      </c>
      <c r="M19" s="72" t="n">
        <f aca="false">INDEX(Routes!$F$6:$F$9,$C19)/L19</f>
        <v>0.13</v>
      </c>
      <c r="N19" s="77" t="n">
        <f aca="false">2*L19*(1+SeaMargin)/(I19*24)</f>
        <v>36.4583333333333</v>
      </c>
      <c r="O19" s="84" t="n">
        <f aca="false">(I19/RefSpeed)^SpeedExp</f>
        <v>0.702331961591221</v>
      </c>
      <c r="P19" s="2" t="n">
        <f aca="false">IF(H19&gt;0,1,0)</f>
        <v>1</v>
      </c>
      <c r="Q19" s="71" t="n">
        <f aca="false">N19/2*O19*(ConsLaden+IF(P19=1,ConsLaden,ConsBallast))</f>
        <v>691.358024691358</v>
      </c>
      <c r="R19" s="71" t="n">
        <f aca="false">Q19*(1-M19)</f>
        <v>601.481481481481</v>
      </c>
      <c r="S19" s="71" t="n">
        <f aca="false">Q19*M19</f>
        <v>89.8765432098765</v>
      </c>
      <c r="T19" s="2" t="n">
        <f aca="false">1+P19</f>
        <v>2</v>
      </c>
      <c r="U19" s="77" t="n">
        <f aca="false">INDEX(Routes!$L$6:$L$9,$C19)*T19*F19</f>
        <v>10</v>
      </c>
      <c r="V19" s="77" t="n">
        <f aca="false">INDEX(Routes!$M$6:$M$9,$C19)*T19*F19</f>
        <v>7</v>
      </c>
      <c r="W19" s="77" t="n">
        <f aca="false">INDEX(Routes!$H$6:$H$9,$C19)*2</f>
        <v>0</v>
      </c>
      <c r="X19" s="71" t="n">
        <f aca="false">(U19+V19+W19)*ConsPort</f>
        <v>102</v>
      </c>
      <c r="Y19" s="67" t="n">
        <f aca="false">R19*D19*VLSFO_Mult+(S19+X19)*D19*MGO_Mult</f>
        <v>532458.935975309</v>
      </c>
      <c r="Z19" s="67" t="n">
        <f aca="false">(INDEX(Routes!$N$6:$N$9,$C19)+AN19+MIN(AC19*INDEX(Routes!$T$6:$T$9,$C19),INDEX(Routes!$V$6:$V$9,$C19))+INDEX(Routes!$O$6:$O$9,$C19)+AO19+MIN(AC19*INDEX(Routes!$U$6:$U$9,$C19),INDEX(Routes!$W$6:$W$9,$C19))+IF(P19=1,INDEX(Routes!$N$6:$N$9,$C19)+AN19+MIN(AD19*INDEX(Routes!$T$6:$T$9,$C19),INDEX(Routes!$V$6:$V$9,$C19))+INDEX(Routes!$O$6:$O$9,$C19)+AO19+MIN(AD19*INDEX(Routes!$U$6:$U$9,$C19),INDEX(Routes!$W$6:$W$9,$C19)),0))*J19</f>
        <v>252304.2096</v>
      </c>
      <c r="AA19" s="67" t="n">
        <f aca="false">INDEX(Routes!$R$6:$R$9,$C19)+IF(P19=1,INDEX(Routes!$R$6:$R$9,$C19),INDEX(Routes!$S$6:$S$9,$C19))</f>
        <v>0</v>
      </c>
      <c r="AB19" s="67" t="n">
        <f aca="false">((R19*CO2_VLSFO+S19*CO2_MGO)*INDEX(Routes!$I$6:$I$9,$C19)+(U19*INDEX(Routes!$P$6:$P$9,$C19)+V19*INDEX(Routes!$Q$6:$Q$9,$C19))*ConsPort*CO2_MGO)*PhaseIn*K19*FX</f>
        <v>100256.538148148</v>
      </c>
      <c r="AC19" s="71" t="n">
        <f aca="false">Capacity*G19</f>
        <v>30600</v>
      </c>
      <c r="AD19" s="71" t="n">
        <f aca="false">Capacity*H19</f>
        <v>18000</v>
      </c>
      <c r="AE19" s="82" t="n">
        <f aca="false">INDEX(Routes!$J$6:$J$9,$C19)*E19</f>
        <v>52</v>
      </c>
      <c r="AF19" s="82" t="n">
        <f aca="false">INDEX(Routes!$K$6:$K$9,$C19)*E19</f>
        <v>38</v>
      </c>
      <c r="AG19" s="67" t="n">
        <f aca="false">AC19*AE19+AD19*AF19</f>
        <v>2275200</v>
      </c>
      <c r="AH19" s="67" t="n">
        <f aca="false">AG19*Commission</f>
        <v>56880</v>
      </c>
      <c r="AI19" s="67" t="n">
        <f aca="false">Y19+Z19+AA19+AB19+MiscVoy</f>
        <v>910019.683723457</v>
      </c>
      <c r="AJ19" s="77" t="n">
        <f aca="false">N19+U19+V19+W19</f>
        <v>53.4583333333333</v>
      </c>
      <c r="AK19" s="94" t="n">
        <f aca="false">(AG19-AH19-AI19)/AJ19</f>
        <v>24473.2716996392</v>
      </c>
      <c r="AL19" s="67" t="n">
        <f aca="false">AG19-AH19-AI19-Benchmark*AJ19</f>
        <v>346050.316276543</v>
      </c>
      <c r="AM19" s="82" t="n">
        <f aca="false">IF(AC19&gt;0,((Benchmark*AJ19+AI19)/(1-Commission)-AD19*AF19)/AC19,0)</f>
        <v>40.4011960356446</v>
      </c>
      <c r="AN19" s="67" t="n">
        <f aca="false">LOA_ft*Port_Tariffs!$C$9*IF((INDEX(Routes!$L$6:$L$9,$C19)*INDEX(Routes!$X$6:$X$9,$C19)*F19)&lt;=2,(INDEX(Routes!$L$6:$L$9,$C19)*INDEX(Routes!$X$6:$X$9,$C19)*F19),IF((INDEX(Routes!$L$6:$L$9,$C19)*INDEX(Routes!$X$6:$X$9,$C19)*F19)&lt;=3,2+0.9*((INDEX(Routes!$L$6:$L$9,$C19)*INDEX(Routes!$X$6:$X$9,$C19)*F19)-2),IF((INDEX(Routes!$L$6:$L$9,$C19)*INDEX(Routes!$X$6:$X$9,$C19)*F19)&lt;=4,2.9+0.75*((INDEX(Routes!$L$6:$L$9,$C19)*INDEX(Routes!$X$6:$X$9,$C19)*F19)-3),IF((INDEX(Routes!$L$6:$L$9,$C19)*INDEX(Routes!$X$6:$X$9,$C19)*F19)&lt;=5,3.65+0.6*((INDEX(Routes!$L$6:$L$9,$C19)*INDEX(Routes!$X$6:$X$9,$C19)*F19)-4),4.25+0.5*((INDEX(Routes!$L$6:$L$9,$C19)*INDEX(Routes!$X$6:$X$9,$C19)*F19)-5)))))</f>
        <v>19557.6</v>
      </c>
      <c r="AO19" s="67" t="n">
        <f aca="false">LOA_ft*Port_Tariffs!$C$9*IF((INDEX(Routes!$M$6:$M$9,$C19)*INDEX(Routes!$Y$6:$Y$9,$C19)*F19)&lt;=2,(INDEX(Routes!$M$6:$M$9,$C19)*INDEX(Routes!$Y$6:$Y$9,$C19)*F19),IF((INDEX(Routes!$M$6:$M$9,$C19)*INDEX(Routes!$Y$6:$Y$9,$C19)*F19)&lt;=3,2+0.9*((INDEX(Routes!$M$6:$M$9,$C19)*INDEX(Routes!$Y$6:$Y$9,$C19)*F19)-2),IF((INDEX(Routes!$M$6:$M$9,$C19)*INDEX(Routes!$Y$6:$Y$9,$C19)*F19)&lt;=4,2.9+0.75*((INDEX(Routes!$M$6:$M$9,$C19)*INDEX(Routes!$Y$6:$Y$9,$C19)*F19)-3),IF((INDEX(Routes!$M$6:$M$9,$C19)*INDEX(Routes!$Y$6:$Y$9,$C19)*F19)&lt;=5,3.65+0.6*((INDEX(Routes!$M$6:$M$9,$C19)*INDEX(Routes!$Y$6:$Y$9,$C19)*F19)-4),4.25+0.5*((INDEX(Routes!$M$6:$M$9,$C19)*INDEX(Routes!$Y$6:$Y$9,$C19)*F19)-5)))))</f>
        <v>0</v>
      </c>
    </row>
    <row r="20" customFormat="false" ht="15" hidden="false" customHeight="false" outlineLevel="0" collapsed="false">
      <c r="A20" s="2" t="s">
        <v>514</v>
      </c>
      <c r="B20" s="2" t="s">
        <v>503</v>
      </c>
      <c r="C20" s="16" t="n">
        <f aca="false">Sw_Route</f>
        <v>1</v>
      </c>
      <c r="D20" s="93" t="n">
        <f aca="false">Brent</f>
        <v>82.01</v>
      </c>
      <c r="E20" s="88" t="n">
        <f aca="false">FreightMult</f>
        <v>1</v>
      </c>
      <c r="F20" s="88" t="n">
        <f aca="false">PortMult</f>
        <v>1</v>
      </c>
      <c r="G20" s="89" t="n">
        <f aca="false">UtilFH</f>
        <v>0.85</v>
      </c>
      <c r="H20" s="89" t="n">
        <f aca="false">UtilBH</f>
        <v>0.5</v>
      </c>
      <c r="I20" s="95" t="n">
        <v>14.5</v>
      </c>
      <c r="J20" s="88" t="n">
        <f aca="false">PortCostMult</f>
        <v>1</v>
      </c>
      <c r="K20" s="90" t="n">
        <f aca="false">EUA</f>
        <v>75</v>
      </c>
      <c r="L20" s="71" t="n">
        <f aca="false">INDEX(Routes!$E$6:$E$9,$C20)</f>
        <v>5000</v>
      </c>
      <c r="M20" s="72" t="n">
        <f aca="false">INDEX(Routes!$F$6:$F$9,$C20)/L20</f>
        <v>0.13</v>
      </c>
      <c r="N20" s="77" t="n">
        <f aca="false">2*L20*(1+SeaMargin)/(I20*24)</f>
        <v>30.1724137931035</v>
      </c>
      <c r="O20" s="84" t="n">
        <f aca="false">(I20/RefSpeed)^SpeedExp</f>
        <v>1.23908956967942</v>
      </c>
      <c r="P20" s="2" t="n">
        <f aca="false">IF(H20&gt;0,1,0)</f>
        <v>1</v>
      </c>
      <c r="Q20" s="71" t="n">
        <f aca="false">N20/2*O20*(ConsLaden+IF(P20=1,ConsLaden,ConsBallast))</f>
        <v>1009.43072702332</v>
      </c>
      <c r="R20" s="71" t="n">
        <f aca="false">Q20*(1-M20)</f>
        <v>878.204732510288</v>
      </c>
      <c r="S20" s="71" t="n">
        <f aca="false">Q20*M20</f>
        <v>131.225994513032</v>
      </c>
      <c r="T20" s="2" t="n">
        <f aca="false">1+P20</f>
        <v>2</v>
      </c>
      <c r="U20" s="77" t="n">
        <f aca="false">INDEX(Routes!$L$6:$L$9,$C20)*T20*F20</f>
        <v>10</v>
      </c>
      <c r="V20" s="77" t="n">
        <f aca="false">INDEX(Routes!$M$6:$M$9,$C20)*T20*F20</f>
        <v>7</v>
      </c>
      <c r="W20" s="77" t="n">
        <f aca="false">INDEX(Routes!$H$6:$H$9,$C20)*2</f>
        <v>0</v>
      </c>
      <c r="X20" s="71" t="n">
        <f aca="false">(U20+V20+W20)*ConsPort</f>
        <v>102</v>
      </c>
      <c r="Y20" s="67" t="n">
        <f aca="false">R20*D20*VLSFO_Mult+(S20+X20)*D20*MGO_Mult</f>
        <v>740096.668828533</v>
      </c>
      <c r="Z20" s="67" t="n">
        <f aca="false">(INDEX(Routes!$N$6:$N$9,$C20)+AN20+MIN(AC20*INDEX(Routes!$T$6:$T$9,$C20),INDEX(Routes!$V$6:$V$9,$C20))+INDEX(Routes!$O$6:$O$9,$C20)+AO20+MIN(AC20*INDEX(Routes!$U$6:$U$9,$C20),INDEX(Routes!$W$6:$W$9,$C20))+IF(P20=1,INDEX(Routes!$N$6:$N$9,$C20)+AN20+MIN(AD20*INDEX(Routes!$T$6:$T$9,$C20),INDEX(Routes!$V$6:$V$9,$C20))+INDEX(Routes!$O$6:$O$9,$C20)+AO20+MIN(AD20*INDEX(Routes!$U$6:$U$9,$C20),INDEX(Routes!$W$6:$W$9,$C20)),0))*J20</f>
        <v>252304.2096</v>
      </c>
      <c r="AA20" s="67" t="n">
        <f aca="false">INDEX(Routes!$R$6:$R$9,$C20)+IF(P20=1,INDEX(Routes!$R$6:$R$9,$C20),INDEX(Routes!$S$6:$S$9,$C20))</f>
        <v>0</v>
      </c>
      <c r="AB20" s="67" t="n">
        <f aca="false">((R20*CO2_VLSFO+S20*CO2_MGO)*INDEX(Routes!$I$6:$I$9,$C20)+(U20*INDEX(Routes!$P$6:$P$9,$C20)+V20*INDEX(Routes!$Q$6:$Q$9,$C20))*ConsPort*CO2_MGO)*PhaseIn*K20*FX</f>
        <v>141270.69311214</v>
      </c>
      <c r="AC20" s="71" t="n">
        <f aca="false">Capacity*G20</f>
        <v>30600</v>
      </c>
      <c r="AD20" s="71" t="n">
        <f aca="false">Capacity*H20</f>
        <v>18000</v>
      </c>
      <c r="AE20" s="82" t="n">
        <f aca="false">INDEX(Routes!$J$6:$J$9,$C20)*E20</f>
        <v>52</v>
      </c>
      <c r="AF20" s="82" t="n">
        <f aca="false">INDEX(Routes!$K$6:$K$9,$C20)*E20</f>
        <v>38</v>
      </c>
      <c r="AG20" s="67" t="n">
        <f aca="false">AC20*AE20+AD20*AF20</f>
        <v>2275200</v>
      </c>
      <c r="AH20" s="67" t="n">
        <f aca="false">AG20*Commission</f>
        <v>56880</v>
      </c>
      <c r="AI20" s="67" t="n">
        <f aca="false">Y20+Z20+AA20+AB20+MiscVoy</f>
        <v>1158671.57154067</v>
      </c>
      <c r="AJ20" s="77" t="n">
        <f aca="false">N20+U20+V20+W20</f>
        <v>47.1724137931034</v>
      </c>
      <c r="AK20" s="94" t="n">
        <f aca="false">(AG20-AH20-AI20)/AJ20</f>
        <v>22463.3073284507</v>
      </c>
      <c r="AL20" s="67" t="n">
        <f aca="false">AG20-AH20-AI20-Benchmark*AJ20</f>
        <v>210544.980183466</v>
      </c>
      <c r="AM20" s="82" t="n">
        <f aca="false">IF(AC20&gt;0,((Benchmark*AJ20+AI20)/(1-Commission)-AD20*AF20)/AC20,0)</f>
        <v>44.9430206072242</v>
      </c>
      <c r="AN20" s="67" t="n">
        <f aca="false">LOA_ft*Port_Tariffs!$C$9*IF((INDEX(Routes!$L$6:$L$9,$C20)*INDEX(Routes!$X$6:$X$9,$C20)*F20)&lt;=2,(INDEX(Routes!$L$6:$L$9,$C20)*INDEX(Routes!$X$6:$X$9,$C20)*F20),IF((INDEX(Routes!$L$6:$L$9,$C20)*INDEX(Routes!$X$6:$X$9,$C20)*F20)&lt;=3,2+0.9*((INDEX(Routes!$L$6:$L$9,$C20)*INDEX(Routes!$X$6:$X$9,$C20)*F20)-2),IF((INDEX(Routes!$L$6:$L$9,$C20)*INDEX(Routes!$X$6:$X$9,$C20)*F20)&lt;=4,2.9+0.75*((INDEX(Routes!$L$6:$L$9,$C20)*INDEX(Routes!$X$6:$X$9,$C20)*F20)-3),IF((INDEX(Routes!$L$6:$L$9,$C20)*INDEX(Routes!$X$6:$X$9,$C20)*F20)&lt;=5,3.65+0.6*((INDEX(Routes!$L$6:$L$9,$C20)*INDEX(Routes!$X$6:$X$9,$C20)*F20)-4),4.25+0.5*((INDEX(Routes!$L$6:$L$9,$C20)*INDEX(Routes!$X$6:$X$9,$C20)*F20)-5)))))</f>
        <v>19557.6</v>
      </c>
      <c r="AO20" s="67" t="n">
        <f aca="false">LOA_ft*Port_Tariffs!$C$9*IF((INDEX(Routes!$M$6:$M$9,$C20)*INDEX(Routes!$Y$6:$Y$9,$C20)*F20)&lt;=2,(INDEX(Routes!$M$6:$M$9,$C20)*INDEX(Routes!$Y$6:$Y$9,$C20)*F20),IF((INDEX(Routes!$M$6:$M$9,$C20)*INDEX(Routes!$Y$6:$Y$9,$C20)*F20)&lt;=3,2+0.9*((INDEX(Routes!$M$6:$M$9,$C20)*INDEX(Routes!$Y$6:$Y$9,$C20)*F20)-2),IF((INDEX(Routes!$M$6:$M$9,$C20)*INDEX(Routes!$Y$6:$Y$9,$C20)*F20)&lt;=4,2.9+0.75*((INDEX(Routes!$M$6:$M$9,$C20)*INDEX(Routes!$Y$6:$Y$9,$C20)*F20)-3),IF((INDEX(Routes!$M$6:$M$9,$C20)*INDEX(Routes!$Y$6:$Y$9,$C20)*F20)&lt;=5,3.65+0.6*((INDEX(Routes!$M$6:$M$9,$C20)*INDEX(Routes!$Y$6:$Y$9,$C20)*F20)-4),4.25+0.5*((INDEX(Routes!$M$6:$M$9,$C20)*INDEX(Routes!$Y$6:$Y$9,$C20)*F20)-5)))))</f>
        <v>0</v>
      </c>
    </row>
    <row r="21" customFormat="false" ht="15" hidden="false" customHeight="false" outlineLevel="0" collapsed="false">
      <c r="A21" s="2" t="s">
        <v>515</v>
      </c>
      <c r="B21" s="2" t="s">
        <v>503</v>
      </c>
      <c r="C21" s="16" t="n">
        <f aca="false">Sw_Route</f>
        <v>1</v>
      </c>
      <c r="D21" s="93" t="n">
        <f aca="false">Brent</f>
        <v>82.01</v>
      </c>
      <c r="E21" s="88" t="n">
        <f aca="false">FreightMult</f>
        <v>1</v>
      </c>
      <c r="F21" s="88" t="n">
        <f aca="false">PortMult</f>
        <v>1</v>
      </c>
      <c r="G21" s="89" t="n">
        <f aca="false">UtilFH</f>
        <v>0.85</v>
      </c>
      <c r="H21" s="89" t="n">
        <f aca="false">UtilBH</f>
        <v>0.5</v>
      </c>
      <c r="I21" s="90" t="n">
        <f aca="false">Speed</f>
        <v>13.5</v>
      </c>
      <c r="J21" s="92" t="n">
        <v>0.75</v>
      </c>
      <c r="K21" s="90" t="n">
        <f aca="false">EUA</f>
        <v>75</v>
      </c>
      <c r="L21" s="71" t="n">
        <f aca="false">INDEX(Routes!$E$6:$E$9,$C21)</f>
        <v>5000</v>
      </c>
      <c r="M21" s="72" t="n">
        <f aca="false">INDEX(Routes!$F$6:$F$9,$C21)/L21</f>
        <v>0.13</v>
      </c>
      <c r="N21" s="77" t="n">
        <f aca="false">2*L21*(1+SeaMargin)/(I21*24)</f>
        <v>32.4074074074074</v>
      </c>
      <c r="O21" s="84" t="n">
        <f aca="false">(I21/RefSpeed)^SpeedExp</f>
        <v>1</v>
      </c>
      <c r="P21" s="2" t="n">
        <f aca="false">IF(H21&gt;0,1,0)</f>
        <v>1</v>
      </c>
      <c r="Q21" s="71" t="n">
        <f aca="false">N21/2*O21*(ConsLaden+IF(P21=1,ConsLaden,ConsBallast))</f>
        <v>875</v>
      </c>
      <c r="R21" s="71" t="n">
        <f aca="false">Q21*(1-M21)</f>
        <v>761.25</v>
      </c>
      <c r="S21" s="71" t="n">
        <f aca="false">Q21*M21</f>
        <v>113.75</v>
      </c>
      <c r="T21" s="2" t="n">
        <f aca="false">1+P21</f>
        <v>2</v>
      </c>
      <c r="U21" s="77" t="n">
        <f aca="false">INDEX(Routes!$L$6:$L$9,$C21)*T21*F21</f>
        <v>10</v>
      </c>
      <c r="V21" s="77" t="n">
        <f aca="false">INDEX(Routes!$M$6:$M$9,$C21)*T21*F21</f>
        <v>7</v>
      </c>
      <c r="W21" s="77" t="n">
        <f aca="false">INDEX(Routes!$H$6:$H$9,$C21)*2</f>
        <v>0</v>
      </c>
      <c r="X21" s="71" t="n">
        <f aca="false">(U21+V21+W21)*ConsPort</f>
        <v>102</v>
      </c>
      <c r="Y21" s="67" t="n">
        <f aca="false">R21*D21*VLSFO_Mult+(S21+X21)*D21*MGO_Mult</f>
        <v>652340.344</v>
      </c>
      <c r="Z21" s="67" t="n">
        <f aca="false">(INDEX(Routes!$N$6:$N$9,$C21)+AN21+MIN(AC21*INDEX(Routes!$T$6:$T$9,$C21),INDEX(Routes!$V$6:$V$9,$C21))+INDEX(Routes!$O$6:$O$9,$C21)+AO21+MIN(AC21*INDEX(Routes!$U$6:$U$9,$C21),INDEX(Routes!$W$6:$W$9,$C21))+IF(P21=1,INDEX(Routes!$N$6:$N$9,$C21)+AN21+MIN(AD21*INDEX(Routes!$T$6:$T$9,$C21),INDEX(Routes!$V$6:$V$9,$C21))+INDEX(Routes!$O$6:$O$9,$C21)+AO21+MIN(AD21*INDEX(Routes!$U$6:$U$9,$C21),INDEX(Routes!$W$6:$W$9,$C21)),0))*J21</f>
        <v>189228.1572</v>
      </c>
      <c r="AA21" s="67" t="n">
        <f aca="false">INDEX(Routes!$R$6:$R$9,$C21)+IF(P21=1,INDEX(Routes!$R$6:$R$9,$C21),INDEX(Routes!$S$6:$S$9,$C21))</f>
        <v>0</v>
      </c>
      <c r="AB21" s="67" t="n">
        <f aca="false">((R21*CO2_VLSFO+S21*CO2_MGO)*INDEX(Routes!$I$6:$I$9,$C21)+(U21*INDEX(Routes!$P$6:$P$9,$C21)+V21*INDEX(Routes!$Q$6:$Q$9,$C21))*ConsPort*CO2_MGO)*PhaseIn*K21*FX</f>
        <v>123936.40875</v>
      </c>
      <c r="AC21" s="71" t="n">
        <f aca="false">Capacity*G21</f>
        <v>30600</v>
      </c>
      <c r="AD21" s="71" t="n">
        <f aca="false">Capacity*H21</f>
        <v>18000</v>
      </c>
      <c r="AE21" s="82" t="n">
        <f aca="false">INDEX(Routes!$J$6:$J$9,$C21)*E21</f>
        <v>52</v>
      </c>
      <c r="AF21" s="82" t="n">
        <f aca="false">INDEX(Routes!$K$6:$K$9,$C21)*E21</f>
        <v>38</v>
      </c>
      <c r="AG21" s="67" t="n">
        <f aca="false">AC21*AE21+AD21*AF21</f>
        <v>2275200</v>
      </c>
      <c r="AH21" s="67" t="n">
        <f aca="false">AG21*Commission</f>
        <v>56880</v>
      </c>
      <c r="AI21" s="67" t="n">
        <f aca="false">Y21+Z21+AA21+AB21+MiscVoy</f>
        <v>990504.90995</v>
      </c>
      <c r="AJ21" s="77" t="n">
        <f aca="false">N21+U21+V21+W21</f>
        <v>49.4074074074074</v>
      </c>
      <c r="AK21" s="94" t="n">
        <f aca="false">(AG21-AH21-AI21)/AJ21</f>
        <v>24850.8301584333</v>
      </c>
      <c r="AL21" s="67" t="n">
        <f aca="false">AG21-AH21-AI21-Benchmark*AJ21</f>
        <v>338481.756716667</v>
      </c>
      <c r="AM21" s="82" t="n">
        <f aca="false">IF(AC21&gt;0,((Benchmark*AJ21+AI21)/(1-Commission)-AD21*AF21)/AC21,0)</f>
        <v>40.6548765973968</v>
      </c>
      <c r="AN21" s="67" t="n">
        <f aca="false">LOA_ft*Port_Tariffs!$C$9*IF((INDEX(Routes!$L$6:$L$9,$C21)*INDEX(Routes!$X$6:$X$9,$C21)*F21)&lt;=2,(INDEX(Routes!$L$6:$L$9,$C21)*INDEX(Routes!$X$6:$X$9,$C21)*F21),IF((INDEX(Routes!$L$6:$L$9,$C21)*INDEX(Routes!$X$6:$X$9,$C21)*F21)&lt;=3,2+0.9*((INDEX(Routes!$L$6:$L$9,$C21)*INDEX(Routes!$X$6:$X$9,$C21)*F21)-2),IF((INDEX(Routes!$L$6:$L$9,$C21)*INDEX(Routes!$X$6:$X$9,$C21)*F21)&lt;=4,2.9+0.75*((INDEX(Routes!$L$6:$L$9,$C21)*INDEX(Routes!$X$6:$X$9,$C21)*F21)-3),IF((INDEX(Routes!$L$6:$L$9,$C21)*INDEX(Routes!$X$6:$X$9,$C21)*F21)&lt;=5,3.65+0.6*((INDEX(Routes!$L$6:$L$9,$C21)*INDEX(Routes!$X$6:$X$9,$C21)*F21)-4),4.25+0.5*((INDEX(Routes!$L$6:$L$9,$C21)*INDEX(Routes!$X$6:$X$9,$C21)*F21)-5)))))</f>
        <v>19557.6</v>
      </c>
      <c r="AO21" s="67" t="n">
        <f aca="false">LOA_ft*Port_Tariffs!$C$9*IF((INDEX(Routes!$M$6:$M$9,$C21)*INDEX(Routes!$Y$6:$Y$9,$C21)*F21)&lt;=2,(INDEX(Routes!$M$6:$M$9,$C21)*INDEX(Routes!$Y$6:$Y$9,$C21)*F21),IF((INDEX(Routes!$M$6:$M$9,$C21)*INDEX(Routes!$Y$6:$Y$9,$C21)*F21)&lt;=3,2+0.9*((INDEX(Routes!$M$6:$M$9,$C21)*INDEX(Routes!$Y$6:$Y$9,$C21)*F21)-2),IF((INDEX(Routes!$M$6:$M$9,$C21)*INDEX(Routes!$Y$6:$Y$9,$C21)*F21)&lt;=4,2.9+0.75*((INDEX(Routes!$M$6:$M$9,$C21)*INDEX(Routes!$Y$6:$Y$9,$C21)*F21)-3),IF((INDEX(Routes!$M$6:$M$9,$C21)*INDEX(Routes!$Y$6:$Y$9,$C21)*F21)&lt;=5,3.65+0.6*((INDEX(Routes!$M$6:$M$9,$C21)*INDEX(Routes!$Y$6:$Y$9,$C21)*F21)-4),4.25+0.5*((INDEX(Routes!$M$6:$M$9,$C21)*INDEX(Routes!$Y$6:$Y$9,$C21)*F21)-5)))))</f>
        <v>0</v>
      </c>
    </row>
    <row r="22" customFormat="false" ht="15" hidden="false" customHeight="false" outlineLevel="0" collapsed="false">
      <c r="A22" s="2" t="s">
        <v>516</v>
      </c>
      <c r="B22" s="2" t="s">
        <v>503</v>
      </c>
      <c r="C22" s="16" t="n">
        <f aca="false">Sw_Route</f>
        <v>1</v>
      </c>
      <c r="D22" s="93" t="n">
        <f aca="false">Brent</f>
        <v>82.01</v>
      </c>
      <c r="E22" s="88" t="n">
        <f aca="false">FreightMult</f>
        <v>1</v>
      </c>
      <c r="F22" s="88" t="n">
        <f aca="false">PortMult</f>
        <v>1</v>
      </c>
      <c r="G22" s="89" t="n">
        <f aca="false">UtilFH</f>
        <v>0.85</v>
      </c>
      <c r="H22" s="89" t="n">
        <f aca="false">UtilBH</f>
        <v>0.5</v>
      </c>
      <c r="I22" s="90" t="n">
        <f aca="false">Speed</f>
        <v>13.5</v>
      </c>
      <c r="J22" s="92" t="n">
        <v>1.25</v>
      </c>
      <c r="K22" s="90" t="n">
        <f aca="false">EUA</f>
        <v>75</v>
      </c>
      <c r="L22" s="71" t="n">
        <f aca="false">INDEX(Routes!$E$6:$E$9,$C22)</f>
        <v>5000</v>
      </c>
      <c r="M22" s="72" t="n">
        <f aca="false">INDEX(Routes!$F$6:$F$9,$C22)/L22</f>
        <v>0.13</v>
      </c>
      <c r="N22" s="77" t="n">
        <f aca="false">2*L22*(1+SeaMargin)/(I22*24)</f>
        <v>32.4074074074074</v>
      </c>
      <c r="O22" s="84" t="n">
        <f aca="false">(I22/RefSpeed)^SpeedExp</f>
        <v>1</v>
      </c>
      <c r="P22" s="2" t="n">
        <f aca="false">IF(H22&gt;0,1,0)</f>
        <v>1</v>
      </c>
      <c r="Q22" s="71" t="n">
        <f aca="false">N22/2*O22*(ConsLaden+IF(P22=1,ConsLaden,ConsBallast))</f>
        <v>875</v>
      </c>
      <c r="R22" s="71" t="n">
        <f aca="false">Q22*(1-M22)</f>
        <v>761.25</v>
      </c>
      <c r="S22" s="71" t="n">
        <f aca="false">Q22*M22</f>
        <v>113.75</v>
      </c>
      <c r="T22" s="2" t="n">
        <f aca="false">1+P22</f>
        <v>2</v>
      </c>
      <c r="U22" s="77" t="n">
        <f aca="false">INDEX(Routes!$L$6:$L$9,$C22)*T22*F22</f>
        <v>10</v>
      </c>
      <c r="V22" s="77" t="n">
        <f aca="false">INDEX(Routes!$M$6:$M$9,$C22)*T22*F22</f>
        <v>7</v>
      </c>
      <c r="W22" s="77" t="n">
        <f aca="false">INDEX(Routes!$H$6:$H$9,$C22)*2</f>
        <v>0</v>
      </c>
      <c r="X22" s="71" t="n">
        <f aca="false">(U22+V22+W22)*ConsPort</f>
        <v>102</v>
      </c>
      <c r="Y22" s="67" t="n">
        <f aca="false">R22*D22*VLSFO_Mult+(S22+X22)*D22*MGO_Mult</f>
        <v>652340.344</v>
      </c>
      <c r="Z22" s="67" t="n">
        <f aca="false">(INDEX(Routes!$N$6:$N$9,$C22)+AN22+MIN(AC22*INDEX(Routes!$T$6:$T$9,$C22),INDEX(Routes!$V$6:$V$9,$C22))+INDEX(Routes!$O$6:$O$9,$C22)+AO22+MIN(AC22*INDEX(Routes!$U$6:$U$9,$C22),INDEX(Routes!$W$6:$W$9,$C22))+IF(P22=1,INDEX(Routes!$N$6:$N$9,$C22)+AN22+MIN(AD22*INDEX(Routes!$T$6:$T$9,$C22),INDEX(Routes!$V$6:$V$9,$C22))+INDEX(Routes!$O$6:$O$9,$C22)+AO22+MIN(AD22*INDEX(Routes!$U$6:$U$9,$C22),INDEX(Routes!$W$6:$W$9,$C22)),0))*J22</f>
        <v>315380.262</v>
      </c>
      <c r="AA22" s="67" t="n">
        <f aca="false">INDEX(Routes!$R$6:$R$9,$C22)+IF(P22=1,INDEX(Routes!$R$6:$R$9,$C22),INDEX(Routes!$S$6:$S$9,$C22))</f>
        <v>0</v>
      </c>
      <c r="AB22" s="67" t="n">
        <f aca="false">((R22*CO2_VLSFO+S22*CO2_MGO)*INDEX(Routes!$I$6:$I$9,$C22)+(U22*INDEX(Routes!$P$6:$P$9,$C22)+V22*INDEX(Routes!$Q$6:$Q$9,$C22))*ConsPort*CO2_MGO)*PhaseIn*K22*FX</f>
        <v>123936.40875</v>
      </c>
      <c r="AC22" s="71" t="n">
        <f aca="false">Capacity*G22</f>
        <v>30600</v>
      </c>
      <c r="AD22" s="71" t="n">
        <f aca="false">Capacity*H22</f>
        <v>18000</v>
      </c>
      <c r="AE22" s="82" t="n">
        <f aca="false">INDEX(Routes!$J$6:$J$9,$C22)*E22</f>
        <v>52</v>
      </c>
      <c r="AF22" s="82" t="n">
        <f aca="false">INDEX(Routes!$K$6:$K$9,$C22)*E22</f>
        <v>38</v>
      </c>
      <c r="AG22" s="67" t="n">
        <f aca="false">AC22*AE22+AD22*AF22</f>
        <v>2275200</v>
      </c>
      <c r="AH22" s="67" t="n">
        <f aca="false">AG22*Commission</f>
        <v>56880</v>
      </c>
      <c r="AI22" s="67" t="n">
        <f aca="false">Y22+Z22+AA22+AB22+MiscVoy</f>
        <v>1116657.01475</v>
      </c>
      <c r="AJ22" s="77" t="n">
        <f aca="false">N22+U22+V22+W22</f>
        <v>49.4074074074074</v>
      </c>
      <c r="AK22" s="94" t="n">
        <f aca="false">(AG22-AH22-AI22)/AJ22</f>
        <v>22297.5266879685</v>
      </c>
      <c r="AL22" s="67" t="n">
        <f aca="false">AG22-AH22-AI22-Benchmark*AJ22</f>
        <v>212329.651916667</v>
      </c>
      <c r="AM22" s="82" t="n">
        <f aca="false">IF(AC22&gt;0,((Benchmark*AJ22+AI22)/(1-Commission)-AD22*AF22)/AC22,0)</f>
        <v>44.8832025501369</v>
      </c>
      <c r="AN22" s="67" t="n">
        <f aca="false">LOA_ft*Port_Tariffs!$C$9*IF((INDEX(Routes!$L$6:$L$9,$C22)*INDEX(Routes!$X$6:$X$9,$C22)*F22)&lt;=2,(INDEX(Routes!$L$6:$L$9,$C22)*INDEX(Routes!$X$6:$X$9,$C22)*F22),IF((INDEX(Routes!$L$6:$L$9,$C22)*INDEX(Routes!$X$6:$X$9,$C22)*F22)&lt;=3,2+0.9*((INDEX(Routes!$L$6:$L$9,$C22)*INDEX(Routes!$X$6:$X$9,$C22)*F22)-2),IF((INDEX(Routes!$L$6:$L$9,$C22)*INDEX(Routes!$X$6:$X$9,$C22)*F22)&lt;=4,2.9+0.75*((INDEX(Routes!$L$6:$L$9,$C22)*INDEX(Routes!$X$6:$X$9,$C22)*F22)-3),IF((INDEX(Routes!$L$6:$L$9,$C22)*INDEX(Routes!$X$6:$X$9,$C22)*F22)&lt;=5,3.65+0.6*((INDEX(Routes!$L$6:$L$9,$C22)*INDEX(Routes!$X$6:$X$9,$C22)*F22)-4),4.25+0.5*((INDEX(Routes!$L$6:$L$9,$C22)*INDEX(Routes!$X$6:$X$9,$C22)*F22)-5)))))</f>
        <v>19557.6</v>
      </c>
      <c r="AO22" s="67" t="n">
        <f aca="false">LOA_ft*Port_Tariffs!$C$9*IF((INDEX(Routes!$M$6:$M$9,$C22)*INDEX(Routes!$Y$6:$Y$9,$C22)*F22)&lt;=2,(INDEX(Routes!$M$6:$M$9,$C22)*INDEX(Routes!$Y$6:$Y$9,$C22)*F22),IF((INDEX(Routes!$M$6:$M$9,$C22)*INDEX(Routes!$Y$6:$Y$9,$C22)*F22)&lt;=3,2+0.9*((INDEX(Routes!$M$6:$M$9,$C22)*INDEX(Routes!$Y$6:$Y$9,$C22)*F22)-2),IF((INDEX(Routes!$M$6:$M$9,$C22)*INDEX(Routes!$Y$6:$Y$9,$C22)*F22)&lt;=4,2.9+0.75*((INDEX(Routes!$M$6:$M$9,$C22)*INDEX(Routes!$Y$6:$Y$9,$C22)*F22)-3),IF((INDEX(Routes!$M$6:$M$9,$C22)*INDEX(Routes!$Y$6:$Y$9,$C22)*F22)&lt;=5,3.65+0.6*((INDEX(Routes!$M$6:$M$9,$C22)*INDEX(Routes!$Y$6:$Y$9,$C22)*F22)-4),4.25+0.5*((INDEX(Routes!$M$6:$M$9,$C22)*INDEX(Routes!$Y$6:$Y$9,$C22)*F22)-5)))))</f>
        <v>0</v>
      </c>
    </row>
    <row r="23" customFormat="false" ht="15" hidden="false" customHeight="false" outlineLevel="0" collapsed="false">
      <c r="A23" s="2" t="s">
        <v>517</v>
      </c>
      <c r="B23" s="2" t="s">
        <v>503</v>
      </c>
      <c r="C23" s="16" t="n">
        <f aca="false">Sw_Route</f>
        <v>1</v>
      </c>
      <c r="D23" s="93" t="n">
        <f aca="false">Brent</f>
        <v>82.01</v>
      </c>
      <c r="E23" s="88" t="n">
        <f aca="false">FreightMult</f>
        <v>1</v>
      </c>
      <c r="F23" s="88" t="n">
        <f aca="false">PortMult</f>
        <v>1</v>
      </c>
      <c r="G23" s="89" t="n">
        <f aca="false">UtilFH</f>
        <v>0.85</v>
      </c>
      <c r="H23" s="89" t="n">
        <f aca="false">UtilBH</f>
        <v>0.5</v>
      </c>
      <c r="I23" s="90" t="n">
        <f aca="false">Speed</f>
        <v>13.5</v>
      </c>
      <c r="J23" s="88" t="n">
        <f aca="false">PortCostMult</f>
        <v>1</v>
      </c>
      <c r="K23" s="95" t="n">
        <v>50</v>
      </c>
      <c r="L23" s="71" t="n">
        <f aca="false">INDEX(Routes!$E$6:$E$9,$C23)</f>
        <v>5000</v>
      </c>
      <c r="M23" s="72" t="n">
        <f aca="false">INDEX(Routes!$F$6:$F$9,$C23)/L23</f>
        <v>0.13</v>
      </c>
      <c r="N23" s="77" t="n">
        <f aca="false">2*L23*(1+SeaMargin)/(I23*24)</f>
        <v>32.4074074074074</v>
      </c>
      <c r="O23" s="84" t="n">
        <f aca="false">(I23/RefSpeed)^SpeedExp</f>
        <v>1</v>
      </c>
      <c r="P23" s="2" t="n">
        <f aca="false">IF(H23&gt;0,1,0)</f>
        <v>1</v>
      </c>
      <c r="Q23" s="71" t="n">
        <f aca="false">N23/2*O23*(ConsLaden+IF(P23=1,ConsLaden,ConsBallast))</f>
        <v>875</v>
      </c>
      <c r="R23" s="71" t="n">
        <f aca="false">Q23*(1-M23)</f>
        <v>761.25</v>
      </c>
      <c r="S23" s="71" t="n">
        <f aca="false">Q23*M23</f>
        <v>113.75</v>
      </c>
      <c r="T23" s="2" t="n">
        <f aca="false">1+P23</f>
        <v>2</v>
      </c>
      <c r="U23" s="77" t="n">
        <f aca="false">INDEX(Routes!$L$6:$L$9,$C23)*T23*F23</f>
        <v>10</v>
      </c>
      <c r="V23" s="77" t="n">
        <f aca="false">INDEX(Routes!$M$6:$M$9,$C23)*T23*F23</f>
        <v>7</v>
      </c>
      <c r="W23" s="77" t="n">
        <f aca="false">INDEX(Routes!$H$6:$H$9,$C23)*2</f>
        <v>0</v>
      </c>
      <c r="X23" s="71" t="n">
        <f aca="false">(U23+V23+W23)*ConsPort</f>
        <v>102</v>
      </c>
      <c r="Y23" s="67" t="n">
        <f aca="false">R23*D23*VLSFO_Mult+(S23+X23)*D23*MGO_Mult</f>
        <v>652340.344</v>
      </c>
      <c r="Z23" s="67" t="n">
        <f aca="false">(INDEX(Routes!$N$6:$N$9,$C23)+AN23+MIN(AC23*INDEX(Routes!$T$6:$T$9,$C23),INDEX(Routes!$V$6:$V$9,$C23))+INDEX(Routes!$O$6:$O$9,$C23)+AO23+MIN(AC23*INDEX(Routes!$U$6:$U$9,$C23),INDEX(Routes!$W$6:$W$9,$C23))+IF(P23=1,INDEX(Routes!$N$6:$N$9,$C23)+AN23+MIN(AD23*INDEX(Routes!$T$6:$T$9,$C23),INDEX(Routes!$V$6:$V$9,$C23))+INDEX(Routes!$O$6:$O$9,$C23)+AO23+MIN(AD23*INDEX(Routes!$U$6:$U$9,$C23),INDEX(Routes!$W$6:$W$9,$C23)),0))*J23</f>
        <v>252304.2096</v>
      </c>
      <c r="AA23" s="67" t="n">
        <f aca="false">INDEX(Routes!$R$6:$R$9,$C23)+IF(P23=1,INDEX(Routes!$R$6:$R$9,$C23),INDEX(Routes!$S$6:$S$9,$C23))</f>
        <v>0</v>
      </c>
      <c r="AB23" s="67" t="n">
        <f aca="false">((R23*CO2_VLSFO+S23*CO2_MGO)*INDEX(Routes!$I$6:$I$9,$C23)+(U23*INDEX(Routes!$P$6:$P$9,$C23)+V23*INDEX(Routes!$Q$6:$Q$9,$C23))*ConsPort*CO2_MGO)*PhaseIn*K23*FX</f>
        <v>82624.2725</v>
      </c>
      <c r="AC23" s="71" t="n">
        <f aca="false">Capacity*G23</f>
        <v>30600</v>
      </c>
      <c r="AD23" s="71" t="n">
        <f aca="false">Capacity*H23</f>
        <v>18000</v>
      </c>
      <c r="AE23" s="82" t="n">
        <f aca="false">INDEX(Routes!$J$6:$J$9,$C23)*E23</f>
        <v>52</v>
      </c>
      <c r="AF23" s="82" t="n">
        <f aca="false">INDEX(Routes!$K$6:$K$9,$C23)*E23</f>
        <v>38</v>
      </c>
      <c r="AG23" s="67" t="n">
        <f aca="false">AC23*AE23+AD23*AF23</f>
        <v>2275200</v>
      </c>
      <c r="AH23" s="67" t="n">
        <f aca="false">AG23*Commission</f>
        <v>56880</v>
      </c>
      <c r="AI23" s="67" t="n">
        <f aca="false">Y23+Z23+AA23+AB23+MiscVoy</f>
        <v>1012268.8261</v>
      </c>
      <c r="AJ23" s="77" t="n">
        <f aca="false">N23+U23+V23+W23</f>
        <v>49.4074074074074</v>
      </c>
      <c r="AK23" s="94" t="n">
        <f aca="false">(AG23-AH23-AI23)/AJ23</f>
        <v>24410.331105922</v>
      </c>
      <c r="AL23" s="67" t="n">
        <f aca="false">AG23-AH23-AI23-Benchmark*AJ23</f>
        <v>316717.840566667</v>
      </c>
      <c r="AM23" s="82" t="n">
        <f aca="false">IF(AC23&gt;0,((Benchmark*AJ23+AI23)/(1-Commission)-AD23*AF23)/AC23,0)</f>
        <v>41.3843525870063</v>
      </c>
      <c r="AN23" s="67" t="n">
        <f aca="false">LOA_ft*Port_Tariffs!$C$9*IF((INDEX(Routes!$L$6:$L$9,$C23)*INDEX(Routes!$X$6:$X$9,$C23)*F23)&lt;=2,(INDEX(Routes!$L$6:$L$9,$C23)*INDEX(Routes!$X$6:$X$9,$C23)*F23),IF((INDEX(Routes!$L$6:$L$9,$C23)*INDEX(Routes!$X$6:$X$9,$C23)*F23)&lt;=3,2+0.9*((INDEX(Routes!$L$6:$L$9,$C23)*INDEX(Routes!$X$6:$X$9,$C23)*F23)-2),IF((INDEX(Routes!$L$6:$L$9,$C23)*INDEX(Routes!$X$6:$X$9,$C23)*F23)&lt;=4,2.9+0.75*((INDEX(Routes!$L$6:$L$9,$C23)*INDEX(Routes!$X$6:$X$9,$C23)*F23)-3),IF((INDEX(Routes!$L$6:$L$9,$C23)*INDEX(Routes!$X$6:$X$9,$C23)*F23)&lt;=5,3.65+0.6*((INDEX(Routes!$L$6:$L$9,$C23)*INDEX(Routes!$X$6:$X$9,$C23)*F23)-4),4.25+0.5*((INDEX(Routes!$L$6:$L$9,$C23)*INDEX(Routes!$X$6:$X$9,$C23)*F23)-5)))))</f>
        <v>19557.6</v>
      </c>
      <c r="AO23" s="67" t="n">
        <f aca="false">LOA_ft*Port_Tariffs!$C$9*IF((INDEX(Routes!$M$6:$M$9,$C23)*INDEX(Routes!$Y$6:$Y$9,$C23)*F23)&lt;=2,(INDEX(Routes!$M$6:$M$9,$C23)*INDEX(Routes!$Y$6:$Y$9,$C23)*F23),IF((INDEX(Routes!$M$6:$M$9,$C23)*INDEX(Routes!$Y$6:$Y$9,$C23)*F23)&lt;=3,2+0.9*((INDEX(Routes!$M$6:$M$9,$C23)*INDEX(Routes!$Y$6:$Y$9,$C23)*F23)-2),IF((INDEX(Routes!$M$6:$M$9,$C23)*INDEX(Routes!$Y$6:$Y$9,$C23)*F23)&lt;=4,2.9+0.75*((INDEX(Routes!$M$6:$M$9,$C23)*INDEX(Routes!$Y$6:$Y$9,$C23)*F23)-3),IF((INDEX(Routes!$M$6:$M$9,$C23)*INDEX(Routes!$Y$6:$Y$9,$C23)*F23)&lt;=5,3.65+0.6*((INDEX(Routes!$M$6:$M$9,$C23)*INDEX(Routes!$Y$6:$Y$9,$C23)*F23)-4),4.25+0.5*((INDEX(Routes!$M$6:$M$9,$C23)*INDEX(Routes!$Y$6:$Y$9,$C23)*F23)-5)))))</f>
        <v>0</v>
      </c>
    </row>
    <row r="24" customFormat="false" ht="15" hidden="false" customHeight="false" outlineLevel="0" collapsed="false">
      <c r="A24" s="2" t="s">
        <v>518</v>
      </c>
      <c r="B24" s="2" t="s">
        <v>503</v>
      </c>
      <c r="C24" s="16" t="n">
        <f aca="false">Sw_Route</f>
        <v>1</v>
      </c>
      <c r="D24" s="93" t="n">
        <f aca="false">Brent</f>
        <v>82.01</v>
      </c>
      <c r="E24" s="88" t="n">
        <f aca="false">FreightMult</f>
        <v>1</v>
      </c>
      <c r="F24" s="88" t="n">
        <f aca="false">PortMult</f>
        <v>1</v>
      </c>
      <c r="G24" s="89" t="n">
        <f aca="false">UtilFH</f>
        <v>0.85</v>
      </c>
      <c r="H24" s="89" t="n">
        <f aca="false">UtilBH</f>
        <v>0.5</v>
      </c>
      <c r="I24" s="90" t="n">
        <f aca="false">Speed</f>
        <v>13.5</v>
      </c>
      <c r="J24" s="88" t="n">
        <f aca="false">PortCostMult</f>
        <v>1</v>
      </c>
      <c r="K24" s="95" t="n">
        <v>110</v>
      </c>
      <c r="L24" s="71" t="n">
        <f aca="false">INDEX(Routes!$E$6:$E$9,$C24)</f>
        <v>5000</v>
      </c>
      <c r="M24" s="72" t="n">
        <f aca="false">INDEX(Routes!$F$6:$F$9,$C24)/L24</f>
        <v>0.13</v>
      </c>
      <c r="N24" s="77" t="n">
        <f aca="false">2*L24*(1+SeaMargin)/(I24*24)</f>
        <v>32.4074074074074</v>
      </c>
      <c r="O24" s="84" t="n">
        <f aca="false">(I24/RefSpeed)^SpeedExp</f>
        <v>1</v>
      </c>
      <c r="P24" s="2" t="n">
        <f aca="false">IF(H24&gt;0,1,0)</f>
        <v>1</v>
      </c>
      <c r="Q24" s="71" t="n">
        <f aca="false">N24/2*O24*(ConsLaden+IF(P24=1,ConsLaden,ConsBallast))</f>
        <v>875</v>
      </c>
      <c r="R24" s="71" t="n">
        <f aca="false">Q24*(1-M24)</f>
        <v>761.25</v>
      </c>
      <c r="S24" s="71" t="n">
        <f aca="false">Q24*M24</f>
        <v>113.75</v>
      </c>
      <c r="T24" s="2" t="n">
        <f aca="false">1+P24</f>
        <v>2</v>
      </c>
      <c r="U24" s="77" t="n">
        <f aca="false">INDEX(Routes!$L$6:$L$9,$C24)*T24*F24</f>
        <v>10</v>
      </c>
      <c r="V24" s="77" t="n">
        <f aca="false">INDEX(Routes!$M$6:$M$9,$C24)*T24*F24</f>
        <v>7</v>
      </c>
      <c r="W24" s="77" t="n">
        <f aca="false">INDEX(Routes!$H$6:$H$9,$C24)*2</f>
        <v>0</v>
      </c>
      <c r="X24" s="71" t="n">
        <f aca="false">(U24+V24+W24)*ConsPort</f>
        <v>102</v>
      </c>
      <c r="Y24" s="67" t="n">
        <f aca="false">R24*D24*VLSFO_Mult+(S24+X24)*D24*MGO_Mult</f>
        <v>652340.344</v>
      </c>
      <c r="Z24" s="67" t="n">
        <f aca="false">(INDEX(Routes!$N$6:$N$9,$C24)+AN24+MIN(AC24*INDEX(Routes!$T$6:$T$9,$C24),INDEX(Routes!$V$6:$V$9,$C24))+INDEX(Routes!$O$6:$O$9,$C24)+AO24+MIN(AC24*INDEX(Routes!$U$6:$U$9,$C24),INDEX(Routes!$W$6:$W$9,$C24))+IF(P24=1,INDEX(Routes!$N$6:$N$9,$C24)+AN24+MIN(AD24*INDEX(Routes!$T$6:$T$9,$C24),INDEX(Routes!$V$6:$V$9,$C24))+INDEX(Routes!$O$6:$O$9,$C24)+AO24+MIN(AD24*INDEX(Routes!$U$6:$U$9,$C24),INDEX(Routes!$W$6:$W$9,$C24)),0))*J24</f>
        <v>252304.2096</v>
      </c>
      <c r="AA24" s="67" t="n">
        <f aca="false">INDEX(Routes!$R$6:$R$9,$C24)+IF(P24=1,INDEX(Routes!$R$6:$R$9,$C24),INDEX(Routes!$S$6:$S$9,$C24))</f>
        <v>0</v>
      </c>
      <c r="AB24" s="67" t="n">
        <f aca="false">((R24*CO2_VLSFO+S24*CO2_MGO)*INDEX(Routes!$I$6:$I$9,$C24)+(U24*INDEX(Routes!$P$6:$P$9,$C24)+V24*INDEX(Routes!$Q$6:$Q$9,$C24))*ConsPort*CO2_MGO)*PhaseIn*K24*FX</f>
        <v>181773.3995</v>
      </c>
      <c r="AC24" s="71" t="n">
        <f aca="false">Capacity*G24</f>
        <v>30600</v>
      </c>
      <c r="AD24" s="71" t="n">
        <f aca="false">Capacity*H24</f>
        <v>18000</v>
      </c>
      <c r="AE24" s="82" t="n">
        <f aca="false">INDEX(Routes!$J$6:$J$9,$C24)*E24</f>
        <v>52</v>
      </c>
      <c r="AF24" s="82" t="n">
        <f aca="false">INDEX(Routes!$K$6:$K$9,$C24)*E24</f>
        <v>38</v>
      </c>
      <c r="AG24" s="67" t="n">
        <f aca="false">AC24*AE24+AD24*AF24</f>
        <v>2275200</v>
      </c>
      <c r="AH24" s="67" t="n">
        <f aca="false">AG24*Commission</f>
        <v>56880</v>
      </c>
      <c r="AI24" s="67" t="n">
        <f aca="false">Y24+Z24+AA24+AB24+MiscVoy</f>
        <v>1111417.9531</v>
      </c>
      <c r="AJ24" s="77" t="n">
        <f aca="false">N24+U24+V24+W24</f>
        <v>49.4074074074074</v>
      </c>
      <c r="AK24" s="94" t="n">
        <f aca="false">(AG24-AH24-AI24)/AJ24</f>
        <v>22403.5646673913</v>
      </c>
      <c r="AL24" s="67" t="n">
        <f aca="false">AG24-AH24-AI24-Benchmark*AJ24</f>
        <v>217568.713566667</v>
      </c>
      <c r="AM24" s="82" t="n">
        <f aca="false">IF(AC24&gt;0,((Benchmark*AJ24+AI24)/(1-Commission)-AD24*AF24)/AC24,0)</f>
        <v>44.7076013552315</v>
      </c>
      <c r="AN24" s="67" t="n">
        <f aca="false">LOA_ft*Port_Tariffs!$C$9*IF((INDEX(Routes!$L$6:$L$9,$C24)*INDEX(Routes!$X$6:$X$9,$C24)*F24)&lt;=2,(INDEX(Routes!$L$6:$L$9,$C24)*INDEX(Routes!$X$6:$X$9,$C24)*F24),IF((INDEX(Routes!$L$6:$L$9,$C24)*INDEX(Routes!$X$6:$X$9,$C24)*F24)&lt;=3,2+0.9*((INDEX(Routes!$L$6:$L$9,$C24)*INDEX(Routes!$X$6:$X$9,$C24)*F24)-2),IF((INDEX(Routes!$L$6:$L$9,$C24)*INDEX(Routes!$X$6:$X$9,$C24)*F24)&lt;=4,2.9+0.75*((INDEX(Routes!$L$6:$L$9,$C24)*INDEX(Routes!$X$6:$X$9,$C24)*F24)-3),IF((INDEX(Routes!$L$6:$L$9,$C24)*INDEX(Routes!$X$6:$X$9,$C24)*F24)&lt;=5,3.65+0.6*((INDEX(Routes!$L$6:$L$9,$C24)*INDEX(Routes!$X$6:$X$9,$C24)*F24)-4),4.25+0.5*((INDEX(Routes!$L$6:$L$9,$C24)*INDEX(Routes!$X$6:$X$9,$C24)*F24)-5)))))</f>
        <v>19557.6</v>
      </c>
      <c r="AO24" s="67" t="n">
        <f aca="false">LOA_ft*Port_Tariffs!$C$9*IF((INDEX(Routes!$M$6:$M$9,$C24)*INDEX(Routes!$Y$6:$Y$9,$C24)*F24)&lt;=2,(INDEX(Routes!$M$6:$M$9,$C24)*INDEX(Routes!$Y$6:$Y$9,$C24)*F24),IF((INDEX(Routes!$M$6:$M$9,$C24)*INDEX(Routes!$Y$6:$Y$9,$C24)*F24)&lt;=3,2+0.9*((INDEX(Routes!$M$6:$M$9,$C24)*INDEX(Routes!$Y$6:$Y$9,$C24)*F24)-2),IF((INDEX(Routes!$M$6:$M$9,$C24)*INDEX(Routes!$Y$6:$Y$9,$C24)*F24)&lt;=4,2.9+0.75*((INDEX(Routes!$M$6:$M$9,$C24)*INDEX(Routes!$Y$6:$Y$9,$C24)*F24)-3),IF((INDEX(Routes!$M$6:$M$9,$C24)*INDEX(Routes!$Y$6:$Y$9,$C24)*F24)&lt;=5,3.65+0.6*((INDEX(Routes!$M$6:$M$9,$C24)*INDEX(Routes!$Y$6:$Y$9,$C24)*F24)-4),4.25+0.5*((INDEX(Routes!$M$6:$M$9,$C24)*INDEX(Routes!$Y$6:$Y$9,$C24)*F24)-5)))))</f>
        <v>0</v>
      </c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customFormat="false" ht="15" hidden="false" customHeight="false" outlineLevel="0" collapsed="false">
      <c r="A26" s="18" t="s">
        <v>519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customFormat="false" ht="15" hidden="false" customHeight="false" outlineLevel="0" collapsed="false">
      <c r="A27" s="2" t="s">
        <v>520</v>
      </c>
      <c r="B27" s="2" t="s">
        <v>521</v>
      </c>
      <c r="C27" s="16" t="n">
        <f aca="false">Sw_Route</f>
        <v>1</v>
      </c>
      <c r="D27" s="93" t="n">
        <f aca="false">Brent</f>
        <v>82.01</v>
      </c>
      <c r="E27" s="88" t="n">
        <f aca="false">FreightMult*1.1</f>
        <v>1.1</v>
      </c>
      <c r="F27" s="88" t="n">
        <f aca="false">PortMult</f>
        <v>1</v>
      </c>
      <c r="G27" s="89" t="n">
        <f aca="false">UtilFH</f>
        <v>0.85</v>
      </c>
      <c r="H27" s="89" t="n">
        <f aca="false">UtilBH</f>
        <v>0.5</v>
      </c>
      <c r="I27" s="90" t="n">
        <f aca="false">Speed</f>
        <v>13.5</v>
      </c>
      <c r="J27" s="88" t="n">
        <f aca="false">PortCostMult</f>
        <v>1</v>
      </c>
      <c r="K27" s="90" t="n">
        <f aca="false">EUA</f>
        <v>75</v>
      </c>
      <c r="L27" s="71" t="n">
        <f aca="false">INDEX(Routes!$E$6:$E$9,$C27)</f>
        <v>5000</v>
      </c>
      <c r="M27" s="72" t="n">
        <f aca="false">INDEX(Routes!$F$6:$F$9,$C27)/L27</f>
        <v>0.13</v>
      </c>
      <c r="N27" s="77" t="n">
        <f aca="false">2*L27*(1+SeaMargin)/(I27*24)</f>
        <v>32.4074074074074</v>
      </c>
      <c r="O27" s="84" t="n">
        <f aca="false">(I27/RefSpeed)^SpeedExp</f>
        <v>1</v>
      </c>
      <c r="P27" s="2" t="n">
        <f aca="false">IF(H27&gt;0,1,0)</f>
        <v>1</v>
      </c>
      <c r="Q27" s="71" t="n">
        <f aca="false">N27/2*O27*(ConsLaden+IF(P27=1,ConsLaden,ConsBallast))</f>
        <v>875</v>
      </c>
      <c r="R27" s="71" t="n">
        <f aca="false">Q27*(1-M27)</f>
        <v>761.25</v>
      </c>
      <c r="S27" s="71" t="n">
        <f aca="false">Q27*M27</f>
        <v>113.75</v>
      </c>
      <c r="T27" s="2" t="n">
        <f aca="false">1+P27</f>
        <v>2</v>
      </c>
      <c r="U27" s="77" t="n">
        <f aca="false">INDEX(Routes!$L$6:$L$9,$C27)*T27*F27</f>
        <v>10</v>
      </c>
      <c r="V27" s="77" t="n">
        <f aca="false">INDEX(Routes!$M$6:$M$9,$C27)*T27*F27</f>
        <v>7</v>
      </c>
      <c r="W27" s="77" t="n">
        <f aca="false">INDEX(Routes!$H$6:$H$9,$C27)*2</f>
        <v>0</v>
      </c>
      <c r="X27" s="71" t="n">
        <f aca="false">(U27+V27+W27)*ConsPort</f>
        <v>102</v>
      </c>
      <c r="Y27" s="67" t="n">
        <f aca="false">R27*D27*VLSFO_Mult+(S27+X27)*D27*MGO_Mult</f>
        <v>652340.344</v>
      </c>
      <c r="Z27" s="67" t="n">
        <f aca="false">(INDEX(Routes!$N$6:$N$9,$C27)+AN27+MIN(AC27*INDEX(Routes!$T$6:$T$9,$C27),INDEX(Routes!$V$6:$V$9,$C27))+INDEX(Routes!$O$6:$O$9,$C27)+AO27+MIN(AC27*INDEX(Routes!$U$6:$U$9,$C27),INDEX(Routes!$W$6:$W$9,$C27))+IF(P27=1,INDEX(Routes!$N$6:$N$9,$C27)+AN27+MIN(AD27*INDEX(Routes!$T$6:$T$9,$C27),INDEX(Routes!$V$6:$V$9,$C27))+INDEX(Routes!$O$6:$O$9,$C27)+AO27+MIN(AD27*INDEX(Routes!$U$6:$U$9,$C27),INDEX(Routes!$W$6:$W$9,$C27)),0))*J27</f>
        <v>252304.2096</v>
      </c>
      <c r="AA27" s="67" t="n">
        <f aca="false">INDEX(Routes!$R$6:$R$9,$C27)+IF(P27=1,INDEX(Routes!$R$6:$R$9,$C27),INDEX(Routes!$S$6:$S$9,$C27))</f>
        <v>0</v>
      </c>
      <c r="AB27" s="67" t="n">
        <f aca="false">((R27*CO2_VLSFO+S27*CO2_MGO)*INDEX(Routes!$I$6:$I$9,$C27)+(U27*INDEX(Routes!$P$6:$P$9,$C27)+V27*INDEX(Routes!$Q$6:$Q$9,$C27))*ConsPort*CO2_MGO)*PhaseIn*K27*FX</f>
        <v>123936.40875</v>
      </c>
      <c r="AC27" s="71" t="n">
        <f aca="false">Capacity*G27</f>
        <v>30600</v>
      </c>
      <c r="AD27" s="71" t="n">
        <f aca="false">Capacity*H27</f>
        <v>18000</v>
      </c>
      <c r="AE27" s="82" t="n">
        <f aca="false">INDEX(Routes!$J$6:$J$9,$C27)*E27</f>
        <v>57.2</v>
      </c>
      <c r="AF27" s="82" t="n">
        <f aca="false">INDEX(Routes!$K$6:$K$9,$C27)*E27</f>
        <v>41.8</v>
      </c>
      <c r="AG27" s="67" t="n">
        <f aca="false">AC27*AE27+AD27*AF27</f>
        <v>2502720</v>
      </c>
      <c r="AH27" s="67" t="n">
        <f aca="false">AG27*Commission</f>
        <v>62568</v>
      </c>
      <c r="AI27" s="67" t="n">
        <f aca="false">Y27+Z27+AA27+AB27+MiscVoy</f>
        <v>1053580.96235</v>
      </c>
      <c r="AJ27" s="77" t="n">
        <f aca="false">N27+U27+V27+W27</f>
        <v>49.4074074074074</v>
      </c>
      <c r="AK27" s="94" t="n">
        <f aca="false">(AG27-AH27-AI27)/AJ27</f>
        <v>28064.0314966642</v>
      </c>
      <c r="AL27" s="67" t="n">
        <f aca="false">AG27-AH27-AI27-Benchmark*AJ27</f>
        <v>497237.704316667</v>
      </c>
      <c r="AM27" s="82" t="n">
        <f aca="false">IF(AC27&gt;0,((Benchmark*AJ27+AI27)/(1-Commission)-AD27*AF27)/AC27,0)</f>
        <v>40.5337454561198</v>
      </c>
      <c r="AN27" s="67" t="n">
        <f aca="false">LOA_ft*Port_Tariffs!$C$9*IF((INDEX(Routes!$L$6:$L$9,$C27)*INDEX(Routes!$X$6:$X$9,$C27)*F27)&lt;=2,(INDEX(Routes!$L$6:$L$9,$C27)*INDEX(Routes!$X$6:$X$9,$C27)*F27),IF((INDEX(Routes!$L$6:$L$9,$C27)*INDEX(Routes!$X$6:$X$9,$C27)*F27)&lt;=3,2+0.9*((INDEX(Routes!$L$6:$L$9,$C27)*INDEX(Routes!$X$6:$X$9,$C27)*F27)-2),IF((INDEX(Routes!$L$6:$L$9,$C27)*INDEX(Routes!$X$6:$X$9,$C27)*F27)&lt;=4,2.9+0.75*((INDEX(Routes!$L$6:$L$9,$C27)*INDEX(Routes!$X$6:$X$9,$C27)*F27)-3),IF((INDEX(Routes!$L$6:$L$9,$C27)*INDEX(Routes!$X$6:$X$9,$C27)*F27)&lt;=5,3.65+0.6*((INDEX(Routes!$L$6:$L$9,$C27)*INDEX(Routes!$X$6:$X$9,$C27)*F27)-4),4.25+0.5*((INDEX(Routes!$L$6:$L$9,$C27)*INDEX(Routes!$X$6:$X$9,$C27)*F27)-5)))))</f>
        <v>19557.6</v>
      </c>
      <c r="AO27" s="67" t="n">
        <f aca="false">LOA_ft*Port_Tariffs!$C$9*IF((INDEX(Routes!$M$6:$M$9,$C27)*INDEX(Routes!$Y$6:$Y$9,$C27)*F27)&lt;=2,(INDEX(Routes!$M$6:$M$9,$C27)*INDEX(Routes!$Y$6:$Y$9,$C27)*F27),IF((INDEX(Routes!$M$6:$M$9,$C27)*INDEX(Routes!$Y$6:$Y$9,$C27)*F27)&lt;=3,2+0.9*((INDEX(Routes!$M$6:$M$9,$C27)*INDEX(Routes!$Y$6:$Y$9,$C27)*F27)-2),IF((INDEX(Routes!$M$6:$M$9,$C27)*INDEX(Routes!$Y$6:$Y$9,$C27)*F27)&lt;=4,2.9+0.75*((INDEX(Routes!$M$6:$M$9,$C27)*INDEX(Routes!$Y$6:$Y$9,$C27)*F27)-3),IF((INDEX(Routes!$M$6:$M$9,$C27)*INDEX(Routes!$Y$6:$Y$9,$C27)*F27)&lt;=5,3.65+0.6*((INDEX(Routes!$M$6:$M$9,$C27)*INDEX(Routes!$Y$6:$Y$9,$C27)*F27)-4),4.25+0.5*((INDEX(Routes!$M$6:$M$9,$C27)*INDEX(Routes!$Y$6:$Y$9,$C27)*F27)-5)))))</f>
        <v>0</v>
      </c>
    </row>
    <row r="28" customFormat="false" ht="15" hidden="false" customHeight="false" outlineLevel="0" collapsed="false">
      <c r="A28" s="2" t="s">
        <v>522</v>
      </c>
      <c r="B28" s="2" t="s">
        <v>521</v>
      </c>
      <c r="C28" s="16" t="n">
        <f aca="false">Sw_Route</f>
        <v>1</v>
      </c>
      <c r="D28" s="93" t="n">
        <f aca="false">Brent*1.1</f>
        <v>90.211</v>
      </c>
      <c r="E28" s="88" t="n">
        <f aca="false">FreightMult</f>
        <v>1</v>
      </c>
      <c r="F28" s="88" t="n">
        <f aca="false">PortMult</f>
        <v>1</v>
      </c>
      <c r="G28" s="89" t="n">
        <f aca="false">UtilFH</f>
        <v>0.85</v>
      </c>
      <c r="H28" s="89" t="n">
        <f aca="false">UtilBH</f>
        <v>0.5</v>
      </c>
      <c r="I28" s="90" t="n">
        <f aca="false">Speed</f>
        <v>13.5</v>
      </c>
      <c r="J28" s="88" t="n">
        <f aca="false">PortCostMult</f>
        <v>1</v>
      </c>
      <c r="K28" s="90" t="n">
        <f aca="false">EUA</f>
        <v>75</v>
      </c>
      <c r="L28" s="71" t="n">
        <f aca="false">INDEX(Routes!$E$6:$E$9,$C28)</f>
        <v>5000</v>
      </c>
      <c r="M28" s="72" t="n">
        <f aca="false">INDEX(Routes!$F$6:$F$9,$C28)/L28</f>
        <v>0.13</v>
      </c>
      <c r="N28" s="77" t="n">
        <f aca="false">2*L28*(1+SeaMargin)/(I28*24)</f>
        <v>32.4074074074074</v>
      </c>
      <c r="O28" s="84" t="n">
        <f aca="false">(I28/RefSpeed)^SpeedExp</f>
        <v>1</v>
      </c>
      <c r="P28" s="2" t="n">
        <f aca="false">IF(H28&gt;0,1,0)</f>
        <v>1</v>
      </c>
      <c r="Q28" s="71" t="n">
        <f aca="false">N28/2*O28*(ConsLaden+IF(P28=1,ConsLaden,ConsBallast))</f>
        <v>875</v>
      </c>
      <c r="R28" s="71" t="n">
        <f aca="false">Q28*(1-M28)</f>
        <v>761.25</v>
      </c>
      <c r="S28" s="71" t="n">
        <f aca="false">Q28*M28</f>
        <v>113.75</v>
      </c>
      <c r="T28" s="2" t="n">
        <f aca="false">1+P28</f>
        <v>2</v>
      </c>
      <c r="U28" s="77" t="n">
        <f aca="false">INDEX(Routes!$L$6:$L$9,$C28)*T28*F28</f>
        <v>10</v>
      </c>
      <c r="V28" s="77" t="n">
        <f aca="false">INDEX(Routes!$M$6:$M$9,$C28)*T28*F28</f>
        <v>7</v>
      </c>
      <c r="W28" s="77" t="n">
        <f aca="false">INDEX(Routes!$H$6:$H$9,$C28)*2</f>
        <v>0</v>
      </c>
      <c r="X28" s="71" t="n">
        <f aca="false">(U28+V28+W28)*ConsPort</f>
        <v>102</v>
      </c>
      <c r="Y28" s="67" t="n">
        <f aca="false">R28*D28*VLSFO_Mult+(S28+X28)*D28*MGO_Mult</f>
        <v>717574.3784</v>
      </c>
      <c r="Z28" s="67" t="n">
        <f aca="false">(INDEX(Routes!$N$6:$N$9,$C28)+AN28+MIN(AC28*INDEX(Routes!$T$6:$T$9,$C28),INDEX(Routes!$V$6:$V$9,$C28))+INDEX(Routes!$O$6:$O$9,$C28)+AO28+MIN(AC28*INDEX(Routes!$U$6:$U$9,$C28),INDEX(Routes!$W$6:$W$9,$C28))+IF(P28=1,INDEX(Routes!$N$6:$N$9,$C28)+AN28+MIN(AD28*INDEX(Routes!$T$6:$T$9,$C28),INDEX(Routes!$V$6:$V$9,$C28))+INDEX(Routes!$O$6:$O$9,$C28)+AO28+MIN(AD28*INDEX(Routes!$U$6:$U$9,$C28),INDEX(Routes!$W$6:$W$9,$C28)),0))*J28</f>
        <v>252304.2096</v>
      </c>
      <c r="AA28" s="67" t="n">
        <f aca="false">INDEX(Routes!$R$6:$R$9,$C28)+IF(P28=1,INDEX(Routes!$R$6:$R$9,$C28),INDEX(Routes!$S$6:$S$9,$C28))</f>
        <v>0</v>
      </c>
      <c r="AB28" s="67" t="n">
        <f aca="false">((R28*CO2_VLSFO+S28*CO2_MGO)*INDEX(Routes!$I$6:$I$9,$C28)+(U28*INDEX(Routes!$P$6:$P$9,$C28)+V28*INDEX(Routes!$Q$6:$Q$9,$C28))*ConsPort*CO2_MGO)*PhaseIn*K28*FX</f>
        <v>123936.40875</v>
      </c>
      <c r="AC28" s="71" t="n">
        <f aca="false">Capacity*G28</f>
        <v>30600</v>
      </c>
      <c r="AD28" s="71" t="n">
        <f aca="false">Capacity*H28</f>
        <v>18000</v>
      </c>
      <c r="AE28" s="82" t="n">
        <f aca="false">INDEX(Routes!$J$6:$J$9,$C28)*E28</f>
        <v>52</v>
      </c>
      <c r="AF28" s="82" t="n">
        <f aca="false">INDEX(Routes!$K$6:$K$9,$C28)*E28</f>
        <v>38</v>
      </c>
      <c r="AG28" s="67" t="n">
        <f aca="false">AC28*AE28+AD28*AF28</f>
        <v>2275200</v>
      </c>
      <c r="AH28" s="67" t="n">
        <f aca="false">AG28*Commission</f>
        <v>56880</v>
      </c>
      <c r="AI28" s="67" t="n">
        <f aca="false">Y28+Z28+AA28+AB28+MiscVoy</f>
        <v>1118814.99675</v>
      </c>
      <c r="AJ28" s="77" t="n">
        <f aca="false">N28+U28+V28+W28</f>
        <v>49.4074074074074</v>
      </c>
      <c r="AK28" s="94" t="n">
        <f aca="false">(AG28-AH28-AI28)/AJ28</f>
        <v>22253.8493911169</v>
      </c>
      <c r="AL28" s="67" t="n">
        <f aca="false">AG28-AH28-AI28-Benchmark*AJ28</f>
        <v>210171.669916667</v>
      </c>
      <c r="AM28" s="82" t="n">
        <f aca="false">IF(AC28&gt;0,((Benchmark*AJ28+AI28)/(1-Commission)-AD28*AF28)/AC28,0)</f>
        <v>44.9555331015027</v>
      </c>
      <c r="AN28" s="67" t="n">
        <f aca="false">LOA_ft*Port_Tariffs!$C$9*IF((INDEX(Routes!$L$6:$L$9,$C28)*INDEX(Routes!$X$6:$X$9,$C28)*F28)&lt;=2,(INDEX(Routes!$L$6:$L$9,$C28)*INDEX(Routes!$X$6:$X$9,$C28)*F28),IF((INDEX(Routes!$L$6:$L$9,$C28)*INDEX(Routes!$X$6:$X$9,$C28)*F28)&lt;=3,2+0.9*((INDEX(Routes!$L$6:$L$9,$C28)*INDEX(Routes!$X$6:$X$9,$C28)*F28)-2),IF((INDEX(Routes!$L$6:$L$9,$C28)*INDEX(Routes!$X$6:$X$9,$C28)*F28)&lt;=4,2.9+0.75*((INDEX(Routes!$L$6:$L$9,$C28)*INDEX(Routes!$X$6:$X$9,$C28)*F28)-3),IF((INDEX(Routes!$L$6:$L$9,$C28)*INDEX(Routes!$X$6:$X$9,$C28)*F28)&lt;=5,3.65+0.6*((INDEX(Routes!$L$6:$L$9,$C28)*INDEX(Routes!$X$6:$X$9,$C28)*F28)-4),4.25+0.5*((INDEX(Routes!$L$6:$L$9,$C28)*INDEX(Routes!$X$6:$X$9,$C28)*F28)-5)))))</f>
        <v>19557.6</v>
      </c>
      <c r="AO28" s="67" t="n">
        <f aca="false">LOA_ft*Port_Tariffs!$C$9*IF((INDEX(Routes!$M$6:$M$9,$C28)*INDEX(Routes!$Y$6:$Y$9,$C28)*F28)&lt;=2,(INDEX(Routes!$M$6:$M$9,$C28)*INDEX(Routes!$Y$6:$Y$9,$C28)*F28),IF((INDEX(Routes!$M$6:$M$9,$C28)*INDEX(Routes!$Y$6:$Y$9,$C28)*F28)&lt;=3,2+0.9*((INDEX(Routes!$M$6:$M$9,$C28)*INDEX(Routes!$Y$6:$Y$9,$C28)*F28)-2),IF((INDEX(Routes!$M$6:$M$9,$C28)*INDEX(Routes!$Y$6:$Y$9,$C28)*F28)&lt;=4,2.9+0.75*((INDEX(Routes!$M$6:$M$9,$C28)*INDEX(Routes!$Y$6:$Y$9,$C28)*F28)-3),IF((INDEX(Routes!$M$6:$M$9,$C28)*INDEX(Routes!$Y$6:$Y$9,$C28)*F28)&lt;=5,3.65+0.6*((INDEX(Routes!$M$6:$M$9,$C28)*INDEX(Routes!$Y$6:$Y$9,$C28)*F28)-4),4.25+0.5*((INDEX(Routes!$M$6:$M$9,$C28)*INDEX(Routes!$Y$6:$Y$9,$C28)*F28)-5)))))</f>
        <v>0</v>
      </c>
    </row>
    <row r="29" customFormat="false" ht="15" hidden="false" customHeight="false" outlineLevel="0" collapsed="false">
      <c r="A29" s="2" t="s">
        <v>523</v>
      </c>
      <c r="B29" s="2" t="s">
        <v>521</v>
      </c>
      <c r="C29" s="16" t="n">
        <f aca="false">Sw_Route</f>
        <v>1</v>
      </c>
      <c r="D29" s="93" t="n">
        <f aca="false">Brent</f>
        <v>82.01</v>
      </c>
      <c r="E29" s="88" t="n">
        <f aca="false">FreightMult</f>
        <v>1</v>
      </c>
      <c r="F29" s="88" t="n">
        <f aca="false">PortMult*1.1</f>
        <v>1.1</v>
      </c>
      <c r="G29" s="89" t="n">
        <f aca="false">UtilFH</f>
        <v>0.85</v>
      </c>
      <c r="H29" s="89" t="n">
        <f aca="false">UtilBH</f>
        <v>0.5</v>
      </c>
      <c r="I29" s="90" t="n">
        <f aca="false">Speed</f>
        <v>13.5</v>
      </c>
      <c r="J29" s="88" t="n">
        <f aca="false">PortCostMult</f>
        <v>1</v>
      </c>
      <c r="K29" s="90" t="n">
        <f aca="false">EUA</f>
        <v>75</v>
      </c>
      <c r="L29" s="71" t="n">
        <f aca="false">INDEX(Routes!$E$6:$E$9,$C29)</f>
        <v>5000</v>
      </c>
      <c r="M29" s="72" t="n">
        <f aca="false">INDEX(Routes!$F$6:$F$9,$C29)/L29</f>
        <v>0.13</v>
      </c>
      <c r="N29" s="77" t="n">
        <f aca="false">2*L29*(1+SeaMargin)/(I29*24)</f>
        <v>32.4074074074074</v>
      </c>
      <c r="O29" s="84" t="n">
        <f aca="false">(I29/RefSpeed)^SpeedExp</f>
        <v>1</v>
      </c>
      <c r="P29" s="2" t="n">
        <f aca="false">IF(H29&gt;0,1,0)</f>
        <v>1</v>
      </c>
      <c r="Q29" s="71" t="n">
        <f aca="false">N29/2*O29*(ConsLaden+IF(P29=1,ConsLaden,ConsBallast))</f>
        <v>875</v>
      </c>
      <c r="R29" s="71" t="n">
        <f aca="false">Q29*(1-M29)</f>
        <v>761.25</v>
      </c>
      <c r="S29" s="71" t="n">
        <f aca="false">Q29*M29</f>
        <v>113.75</v>
      </c>
      <c r="T29" s="2" t="n">
        <f aca="false">1+P29</f>
        <v>2</v>
      </c>
      <c r="U29" s="77" t="n">
        <f aca="false">INDEX(Routes!$L$6:$L$9,$C29)*T29*F29</f>
        <v>11</v>
      </c>
      <c r="V29" s="77" t="n">
        <f aca="false">INDEX(Routes!$M$6:$M$9,$C29)*T29*F29</f>
        <v>7.7</v>
      </c>
      <c r="W29" s="77" t="n">
        <f aca="false">INDEX(Routes!$H$6:$H$9,$C29)*2</f>
        <v>0</v>
      </c>
      <c r="X29" s="71" t="n">
        <f aca="false">(U29+V29+W29)*ConsPort</f>
        <v>112.2</v>
      </c>
      <c r="Y29" s="67" t="n">
        <f aca="false">R29*D29*VLSFO_Mult+(S29+X29)*D29*MGO_Mult</f>
        <v>660454.4134</v>
      </c>
      <c r="Z29" s="67" t="n">
        <f aca="false">(INDEX(Routes!$N$6:$N$9,$C29)+AN29+MIN(AC29*INDEX(Routes!$T$6:$T$9,$C29),INDEX(Routes!$V$6:$V$9,$C29))+INDEX(Routes!$O$6:$O$9,$C29)+AO29+MIN(AC29*INDEX(Routes!$U$6:$U$9,$C29),INDEX(Routes!$W$6:$W$9,$C29))+IF(P29=1,INDEX(Routes!$N$6:$N$9,$C29)+AN29+MIN(AD29*INDEX(Routes!$T$6:$T$9,$C29),INDEX(Routes!$V$6:$V$9,$C29))+INDEX(Routes!$O$6:$O$9,$C29)+AO29+MIN(AD29*INDEX(Routes!$U$6:$U$9,$C29),INDEX(Routes!$W$6:$W$9,$C29)),0))*J29</f>
        <v>255339.0096</v>
      </c>
      <c r="AA29" s="67" t="n">
        <f aca="false">INDEX(Routes!$R$6:$R$9,$C29)+IF(P29=1,INDEX(Routes!$R$6:$R$9,$C29),INDEX(Routes!$S$6:$S$9,$C29))</f>
        <v>0</v>
      </c>
      <c r="AB29" s="67" t="n">
        <f aca="false">((R29*CO2_VLSFO+S29*CO2_MGO)*INDEX(Routes!$I$6:$I$9,$C29)+(U29*INDEX(Routes!$P$6:$P$9,$C29)+V29*INDEX(Routes!$Q$6:$Q$9,$C29))*ConsPort*CO2_MGO)*PhaseIn*K29*FX</f>
        <v>125047.28775</v>
      </c>
      <c r="AC29" s="71" t="n">
        <f aca="false">Capacity*G29</f>
        <v>30600</v>
      </c>
      <c r="AD29" s="71" t="n">
        <f aca="false">Capacity*H29</f>
        <v>18000</v>
      </c>
      <c r="AE29" s="82" t="n">
        <f aca="false">INDEX(Routes!$J$6:$J$9,$C29)*E29</f>
        <v>52</v>
      </c>
      <c r="AF29" s="82" t="n">
        <f aca="false">INDEX(Routes!$K$6:$K$9,$C29)*E29</f>
        <v>38</v>
      </c>
      <c r="AG29" s="67" t="n">
        <f aca="false">AC29*AE29+AD29*AF29</f>
        <v>2275200</v>
      </c>
      <c r="AH29" s="67" t="n">
        <f aca="false">AG29*Commission</f>
        <v>56880</v>
      </c>
      <c r="AI29" s="67" t="n">
        <f aca="false">Y29+Z29+AA29+AB29+MiscVoy</f>
        <v>1065840.71075</v>
      </c>
      <c r="AJ29" s="77" t="n">
        <f aca="false">N29+U29+V29+W29</f>
        <v>51.1074074074074</v>
      </c>
      <c r="AK29" s="94" t="n">
        <f aca="false">(AG29-AH29-AI29)/AJ29</f>
        <v>22550.1419014059</v>
      </c>
      <c r="AL29" s="67" t="n">
        <f aca="false">AG29-AH29-AI29-Benchmark*AJ29</f>
        <v>232545.955916667</v>
      </c>
      <c r="AM29" s="82" t="n">
        <f aca="false">IF(AC29&gt;0,((Benchmark*AJ29+AI29)/(1-Commission)-AD29*AF29)/AC29,0)</f>
        <v>44.2055989302274</v>
      </c>
      <c r="AN29" s="67" t="n">
        <f aca="false">LOA_ft*Port_Tariffs!$C$9*IF((INDEX(Routes!$L$6:$L$9,$C29)*INDEX(Routes!$X$6:$X$9,$C29)*F29)&lt;=2,(INDEX(Routes!$L$6:$L$9,$C29)*INDEX(Routes!$X$6:$X$9,$C29)*F29),IF((INDEX(Routes!$L$6:$L$9,$C29)*INDEX(Routes!$X$6:$X$9,$C29)*F29)&lt;=3,2+0.9*((INDEX(Routes!$L$6:$L$9,$C29)*INDEX(Routes!$X$6:$X$9,$C29)*F29)-2),IF((INDEX(Routes!$L$6:$L$9,$C29)*INDEX(Routes!$X$6:$X$9,$C29)*F29)&lt;=4,2.9+0.75*((INDEX(Routes!$L$6:$L$9,$C29)*INDEX(Routes!$X$6:$X$9,$C29)*F29)-3),IF((INDEX(Routes!$L$6:$L$9,$C29)*INDEX(Routes!$X$6:$X$9,$C29)*F29)&lt;=5,3.65+0.6*((INDEX(Routes!$L$6:$L$9,$C29)*INDEX(Routes!$X$6:$X$9,$C29)*F29)-4),4.25+0.5*((INDEX(Routes!$L$6:$L$9,$C29)*INDEX(Routes!$X$6:$X$9,$C29)*F29)-5)))))</f>
        <v>21075</v>
      </c>
      <c r="AO29" s="67" t="n">
        <f aca="false">LOA_ft*Port_Tariffs!$C$9*IF((INDEX(Routes!$M$6:$M$9,$C29)*INDEX(Routes!$Y$6:$Y$9,$C29)*F29)&lt;=2,(INDEX(Routes!$M$6:$M$9,$C29)*INDEX(Routes!$Y$6:$Y$9,$C29)*F29),IF((INDEX(Routes!$M$6:$M$9,$C29)*INDEX(Routes!$Y$6:$Y$9,$C29)*F29)&lt;=3,2+0.9*((INDEX(Routes!$M$6:$M$9,$C29)*INDEX(Routes!$Y$6:$Y$9,$C29)*F29)-2),IF((INDEX(Routes!$M$6:$M$9,$C29)*INDEX(Routes!$Y$6:$Y$9,$C29)*F29)&lt;=4,2.9+0.75*((INDEX(Routes!$M$6:$M$9,$C29)*INDEX(Routes!$Y$6:$Y$9,$C29)*F29)-3),IF((INDEX(Routes!$M$6:$M$9,$C29)*INDEX(Routes!$Y$6:$Y$9,$C29)*F29)&lt;=5,3.65+0.6*((INDEX(Routes!$M$6:$M$9,$C29)*INDEX(Routes!$Y$6:$Y$9,$C29)*F29)-4),4.25+0.5*((INDEX(Routes!$M$6:$M$9,$C29)*INDEX(Routes!$Y$6:$Y$9,$C29)*F29)-5)))))</f>
        <v>0</v>
      </c>
    </row>
    <row r="30" customFormat="false" ht="15" hidden="false" customHeight="false" outlineLevel="0" collapsed="false">
      <c r="A30" s="2" t="s">
        <v>524</v>
      </c>
      <c r="B30" s="2" t="s">
        <v>521</v>
      </c>
      <c r="C30" s="16" t="n">
        <f aca="false">Sw_Route</f>
        <v>1</v>
      </c>
      <c r="D30" s="93" t="n">
        <f aca="false">Brent</f>
        <v>82.01</v>
      </c>
      <c r="E30" s="88" t="n">
        <f aca="false">FreightMult</f>
        <v>1</v>
      </c>
      <c r="F30" s="88" t="n">
        <f aca="false">PortMult</f>
        <v>1</v>
      </c>
      <c r="G30" s="89" t="n">
        <f aca="false">UtilFH*1.1</f>
        <v>0.935</v>
      </c>
      <c r="H30" s="89" t="n">
        <f aca="false">UtilBH</f>
        <v>0.5</v>
      </c>
      <c r="I30" s="90" t="n">
        <f aca="false">Speed</f>
        <v>13.5</v>
      </c>
      <c r="J30" s="88" t="n">
        <f aca="false">PortCostMult</f>
        <v>1</v>
      </c>
      <c r="K30" s="90" t="n">
        <f aca="false">EUA</f>
        <v>75</v>
      </c>
      <c r="L30" s="71" t="n">
        <f aca="false">INDEX(Routes!$E$6:$E$9,$C30)</f>
        <v>5000</v>
      </c>
      <c r="M30" s="72" t="n">
        <f aca="false">INDEX(Routes!$F$6:$F$9,$C30)/L30</f>
        <v>0.13</v>
      </c>
      <c r="N30" s="77" t="n">
        <f aca="false">2*L30*(1+SeaMargin)/(I30*24)</f>
        <v>32.4074074074074</v>
      </c>
      <c r="O30" s="84" t="n">
        <f aca="false">(I30/RefSpeed)^SpeedExp</f>
        <v>1</v>
      </c>
      <c r="P30" s="2" t="n">
        <f aca="false">IF(H30&gt;0,1,0)</f>
        <v>1</v>
      </c>
      <c r="Q30" s="71" t="n">
        <f aca="false">N30/2*O30*(ConsLaden+IF(P30=1,ConsLaden,ConsBallast))</f>
        <v>875</v>
      </c>
      <c r="R30" s="71" t="n">
        <f aca="false">Q30*(1-M30)</f>
        <v>761.25</v>
      </c>
      <c r="S30" s="71" t="n">
        <f aca="false">Q30*M30</f>
        <v>113.75</v>
      </c>
      <c r="T30" s="2" t="n">
        <f aca="false">1+P30</f>
        <v>2</v>
      </c>
      <c r="U30" s="77" t="n">
        <f aca="false">INDEX(Routes!$L$6:$L$9,$C30)*T30*F30</f>
        <v>10</v>
      </c>
      <c r="V30" s="77" t="n">
        <f aca="false">INDEX(Routes!$M$6:$M$9,$C30)*T30*F30</f>
        <v>7</v>
      </c>
      <c r="W30" s="77" t="n">
        <f aca="false">INDEX(Routes!$H$6:$H$9,$C30)*2</f>
        <v>0</v>
      </c>
      <c r="X30" s="71" t="n">
        <f aca="false">(U30+V30+W30)*ConsPort</f>
        <v>102</v>
      </c>
      <c r="Y30" s="67" t="n">
        <f aca="false">R30*D30*VLSFO_Mult+(S30+X30)*D30*MGO_Mult</f>
        <v>652340.344</v>
      </c>
      <c r="Z30" s="67" t="n">
        <f aca="false">(INDEX(Routes!$N$6:$N$9,$C30)+AN30+MIN(AC30*INDEX(Routes!$T$6:$T$9,$C30),INDEX(Routes!$V$6:$V$9,$C30))+INDEX(Routes!$O$6:$O$9,$C30)+AO30+MIN(AC30*INDEX(Routes!$U$6:$U$9,$C30),INDEX(Routes!$W$6:$W$9,$C30))+IF(P30=1,INDEX(Routes!$N$6:$N$9,$C30)+AN30+MIN(AD30*INDEX(Routes!$T$6:$T$9,$C30),INDEX(Routes!$V$6:$V$9,$C30))+INDEX(Routes!$O$6:$O$9,$C30)+AO30+MIN(AD30*INDEX(Routes!$U$6:$U$9,$C30),INDEX(Routes!$W$6:$W$9,$C30)),0))*J30</f>
        <v>252779.975088</v>
      </c>
      <c r="AA30" s="67" t="n">
        <f aca="false">INDEX(Routes!$R$6:$R$9,$C30)+IF(P30=1,INDEX(Routes!$R$6:$R$9,$C30),INDEX(Routes!$S$6:$S$9,$C30))</f>
        <v>0</v>
      </c>
      <c r="AB30" s="67" t="n">
        <f aca="false">((R30*CO2_VLSFO+S30*CO2_MGO)*INDEX(Routes!$I$6:$I$9,$C30)+(U30*INDEX(Routes!$P$6:$P$9,$C30)+V30*INDEX(Routes!$Q$6:$Q$9,$C30))*ConsPort*CO2_MGO)*PhaseIn*K30*FX</f>
        <v>123936.40875</v>
      </c>
      <c r="AC30" s="71" t="n">
        <f aca="false">Capacity*G30</f>
        <v>33660</v>
      </c>
      <c r="AD30" s="71" t="n">
        <f aca="false">Capacity*H30</f>
        <v>18000</v>
      </c>
      <c r="AE30" s="82" t="n">
        <f aca="false">INDEX(Routes!$J$6:$J$9,$C30)*E30</f>
        <v>52</v>
      </c>
      <c r="AF30" s="82" t="n">
        <f aca="false">INDEX(Routes!$K$6:$K$9,$C30)*E30</f>
        <v>38</v>
      </c>
      <c r="AG30" s="67" t="n">
        <f aca="false">AC30*AE30+AD30*AF30</f>
        <v>2434320</v>
      </c>
      <c r="AH30" s="67" t="n">
        <f aca="false">AG30*Commission</f>
        <v>60858</v>
      </c>
      <c r="AI30" s="67" t="n">
        <f aca="false">Y30+Z30+AA30+AB30+MiscVoy</f>
        <v>1054056.727838</v>
      </c>
      <c r="AJ30" s="77" t="n">
        <f aca="false">N30+U30+V30+W30</f>
        <v>49.4074074074074</v>
      </c>
      <c r="AK30" s="94" t="n">
        <f aca="false">(AG30-AH30-AI30)/AJ30</f>
        <v>26704.604459051</v>
      </c>
      <c r="AL30" s="67" t="n">
        <f aca="false">AG30-AH30-AI30-Benchmark*AJ30</f>
        <v>430071.938828667</v>
      </c>
      <c r="AM30" s="82" t="n">
        <f aca="false">IF(AC30&gt;0,((Benchmark*AJ30+AI30)/(1-Commission)-AD30*AF30)/AC30,0)</f>
        <v>38.895441935839</v>
      </c>
      <c r="AN30" s="67" t="n">
        <f aca="false">LOA_ft*Port_Tariffs!$C$9*IF((INDEX(Routes!$L$6:$L$9,$C30)*INDEX(Routes!$X$6:$X$9,$C30)*F30)&lt;=2,(INDEX(Routes!$L$6:$L$9,$C30)*INDEX(Routes!$X$6:$X$9,$C30)*F30),IF((INDEX(Routes!$L$6:$L$9,$C30)*INDEX(Routes!$X$6:$X$9,$C30)*F30)&lt;=3,2+0.9*((INDEX(Routes!$L$6:$L$9,$C30)*INDEX(Routes!$X$6:$X$9,$C30)*F30)-2),IF((INDEX(Routes!$L$6:$L$9,$C30)*INDEX(Routes!$X$6:$X$9,$C30)*F30)&lt;=4,2.9+0.75*((INDEX(Routes!$L$6:$L$9,$C30)*INDEX(Routes!$X$6:$X$9,$C30)*F30)-3),IF((INDEX(Routes!$L$6:$L$9,$C30)*INDEX(Routes!$X$6:$X$9,$C30)*F30)&lt;=5,3.65+0.6*((INDEX(Routes!$L$6:$L$9,$C30)*INDEX(Routes!$X$6:$X$9,$C30)*F30)-4),4.25+0.5*((INDEX(Routes!$L$6:$L$9,$C30)*INDEX(Routes!$X$6:$X$9,$C30)*F30)-5)))))</f>
        <v>19557.6</v>
      </c>
      <c r="AO30" s="67" t="n">
        <f aca="false">LOA_ft*Port_Tariffs!$C$9*IF((INDEX(Routes!$M$6:$M$9,$C30)*INDEX(Routes!$Y$6:$Y$9,$C30)*F30)&lt;=2,(INDEX(Routes!$M$6:$M$9,$C30)*INDEX(Routes!$Y$6:$Y$9,$C30)*F30),IF((INDEX(Routes!$M$6:$M$9,$C30)*INDEX(Routes!$Y$6:$Y$9,$C30)*F30)&lt;=3,2+0.9*((INDEX(Routes!$M$6:$M$9,$C30)*INDEX(Routes!$Y$6:$Y$9,$C30)*F30)-2),IF((INDEX(Routes!$M$6:$M$9,$C30)*INDEX(Routes!$Y$6:$Y$9,$C30)*F30)&lt;=4,2.9+0.75*((INDEX(Routes!$M$6:$M$9,$C30)*INDEX(Routes!$Y$6:$Y$9,$C30)*F30)-3),IF((INDEX(Routes!$M$6:$M$9,$C30)*INDEX(Routes!$Y$6:$Y$9,$C30)*F30)&lt;=5,3.65+0.6*((INDEX(Routes!$M$6:$M$9,$C30)*INDEX(Routes!$Y$6:$Y$9,$C30)*F30)-4),4.25+0.5*((INDEX(Routes!$M$6:$M$9,$C30)*INDEX(Routes!$Y$6:$Y$9,$C30)*F30)-5)))))</f>
        <v>0</v>
      </c>
    </row>
    <row r="31" customFormat="false" ht="15" hidden="false" customHeight="false" outlineLevel="0" collapsed="false">
      <c r="A31" s="2" t="s">
        <v>525</v>
      </c>
      <c r="B31" s="2" t="s">
        <v>521</v>
      </c>
      <c r="C31" s="16" t="n">
        <f aca="false">Sw_Route</f>
        <v>1</v>
      </c>
      <c r="D31" s="93" t="n">
        <f aca="false">Brent</f>
        <v>82.01</v>
      </c>
      <c r="E31" s="88" t="n">
        <f aca="false">FreightMult</f>
        <v>1</v>
      </c>
      <c r="F31" s="88" t="n">
        <f aca="false">PortMult</f>
        <v>1</v>
      </c>
      <c r="G31" s="89" t="n">
        <f aca="false">UtilFH</f>
        <v>0.85</v>
      </c>
      <c r="H31" s="89" t="n">
        <f aca="false">UtilBH*1.1</f>
        <v>0.55</v>
      </c>
      <c r="I31" s="90" t="n">
        <f aca="false">Speed</f>
        <v>13.5</v>
      </c>
      <c r="J31" s="88" t="n">
        <f aca="false">PortCostMult</f>
        <v>1</v>
      </c>
      <c r="K31" s="90" t="n">
        <f aca="false">EUA</f>
        <v>75</v>
      </c>
      <c r="L31" s="71" t="n">
        <f aca="false">INDEX(Routes!$E$6:$E$9,$C31)</f>
        <v>5000</v>
      </c>
      <c r="M31" s="72" t="n">
        <f aca="false">INDEX(Routes!$F$6:$F$9,$C31)/L31</f>
        <v>0.13</v>
      </c>
      <c r="N31" s="77" t="n">
        <f aca="false">2*L31*(1+SeaMargin)/(I31*24)</f>
        <v>32.4074074074074</v>
      </c>
      <c r="O31" s="84" t="n">
        <f aca="false">(I31/RefSpeed)^SpeedExp</f>
        <v>1</v>
      </c>
      <c r="P31" s="2" t="n">
        <f aca="false">IF(H31&gt;0,1,0)</f>
        <v>1</v>
      </c>
      <c r="Q31" s="71" t="n">
        <f aca="false">N31/2*O31*(ConsLaden+IF(P31=1,ConsLaden,ConsBallast))</f>
        <v>875</v>
      </c>
      <c r="R31" s="71" t="n">
        <f aca="false">Q31*(1-M31)</f>
        <v>761.25</v>
      </c>
      <c r="S31" s="71" t="n">
        <f aca="false">Q31*M31</f>
        <v>113.75</v>
      </c>
      <c r="T31" s="2" t="n">
        <f aca="false">1+P31</f>
        <v>2</v>
      </c>
      <c r="U31" s="77" t="n">
        <f aca="false">INDEX(Routes!$L$6:$L$9,$C31)*T31*F31</f>
        <v>10</v>
      </c>
      <c r="V31" s="77" t="n">
        <f aca="false">INDEX(Routes!$M$6:$M$9,$C31)*T31*F31</f>
        <v>7</v>
      </c>
      <c r="W31" s="77" t="n">
        <f aca="false">INDEX(Routes!$H$6:$H$9,$C31)*2</f>
        <v>0</v>
      </c>
      <c r="X31" s="71" t="n">
        <f aca="false">(U31+V31+W31)*ConsPort</f>
        <v>102</v>
      </c>
      <c r="Y31" s="67" t="n">
        <f aca="false">R31*D31*VLSFO_Mult+(S31+X31)*D31*MGO_Mult</f>
        <v>652340.344</v>
      </c>
      <c r="Z31" s="67" t="n">
        <f aca="false">(INDEX(Routes!$N$6:$N$9,$C31)+AN31+MIN(AC31*INDEX(Routes!$T$6:$T$9,$C31),INDEX(Routes!$V$6:$V$9,$C31))+INDEX(Routes!$O$6:$O$9,$C31)+AO31+MIN(AC31*INDEX(Routes!$U$6:$U$9,$C31),INDEX(Routes!$W$6:$W$9,$C31))+IF(P31=1,INDEX(Routes!$N$6:$N$9,$C31)+AN31+MIN(AD31*INDEX(Routes!$T$6:$T$9,$C31),INDEX(Routes!$V$6:$V$9,$C31))+INDEX(Routes!$O$6:$O$9,$C31)+AO31+MIN(AD31*INDEX(Routes!$U$6:$U$9,$C31),INDEX(Routes!$W$6:$W$9,$C31)),0))*J31</f>
        <v>253484.6064</v>
      </c>
      <c r="AA31" s="67" t="n">
        <f aca="false">INDEX(Routes!$R$6:$R$9,$C31)+IF(P31=1,INDEX(Routes!$R$6:$R$9,$C31),INDEX(Routes!$S$6:$S$9,$C31))</f>
        <v>0</v>
      </c>
      <c r="AB31" s="67" t="n">
        <f aca="false">((R31*CO2_VLSFO+S31*CO2_MGO)*INDEX(Routes!$I$6:$I$9,$C31)+(U31*INDEX(Routes!$P$6:$P$9,$C31)+V31*INDEX(Routes!$Q$6:$Q$9,$C31))*ConsPort*CO2_MGO)*PhaseIn*K31*FX</f>
        <v>123936.40875</v>
      </c>
      <c r="AC31" s="71" t="n">
        <f aca="false">Capacity*G31</f>
        <v>30600</v>
      </c>
      <c r="AD31" s="71" t="n">
        <f aca="false">Capacity*H31</f>
        <v>19800</v>
      </c>
      <c r="AE31" s="82" t="n">
        <f aca="false">INDEX(Routes!$J$6:$J$9,$C31)*E31</f>
        <v>52</v>
      </c>
      <c r="AF31" s="82" t="n">
        <f aca="false">INDEX(Routes!$K$6:$K$9,$C31)*E31</f>
        <v>38</v>
      </c>
      <c r="AG31" s="67" t="n">
        <f aca="false">AC31*AE31+AD31*AF31</f>
        <v>2343600</v>
      </c>
      <c r="AH31" s="67" t="n">
        <f aca="false">AG31*Commission</f>
        <v>58590</v>
      </c>
      <c r="AI31" s="67" t="n">
        <f aca="false">Y31+Z31+AA31+AB31+MiscVoy</f>
        <v>1054761.35915</v>
      </c>
      <c r="AJ31" s="77" t="n">
        <f aca="false">N31+U31+V31+W31</f>
        <v>49.4074074074074</v>
      </c>
      <c r="AK31" s="94" t="n">
        <f aca="false">(AG31-AH31-AI31)/AJ31</f>
        <v>24900.0849347451</v>
      </c>
      <c r="AL31" s="67" t="n">
        <f aca="false">AG31-AH31-AI31-Benchmark*AJ31</f>
        <v>340915.307516667</v>
      </c>
      <c r="AM31" s="82" t="n">
        <f aca="false">IF(AC31&gt;0,((Benchmark*AJ31+AI31)/(1-Commission)-AD31*AF31)/AC31,0)</f>
        <v>40.5733096190157</v>
      </c>
      <c r="AN31" s="67" t="n">
        <f aca="false">LOA_ft*Port_Tariffs!$C$9*IF((INDEX(Routes!$L$6:$L$9,$C31)*INDEX(Routes!$X$6:$X$9,$C31)*F31)&lt;=2,(INDEX(Routes!$L$6:$L$9,$C31)*INDEX(Routes!$X$6:$X$9,$C31)*F31),IF((INDEX(Routes!$L$6:$L$9,$C31)*INDEX(Routes!$X$6:$X$9,$C31)*F31)&lt;=3,2+0.9*((INDEX(Routes!$L$6:$L$9,$C31)*INDEX(Routes!$X$6:$X$9,$C31)*F31)-2),IF((INDEX(Routes!$L$6:$L$9,$C31)*INDEX(Routes!$X$6:$X$9,$C31)*F31)&lt;=4,2.9+0.75*((INDEX(Routes!$L$6:$L$9,$C31)*INDEX(Routes!$X$6:$X$9,$C31)*F31)-3),IF((INDEX(Routes!$L$6:$L$9,$C31)*INDEX(Routes!$X$6:$X$9,$C31)*F31)&lt;=5,3.65+0.6*((INDEX(Routes!$L$6:$L$9,$C31)*INDEX(Routes!$X$6:$X$9,$C31)*F31)-4),4.25+0.5*((INDEX(Routes!$L$6:$L$9,$C31)*INDEX(Routes!$X$6:$X$9,$C31)*F31)-5)))))</f>
        <v>19557.6</v>
      </c>
      <c r="AO31" s="67" t="n">
        <f aca="false">LOA_ft*Port_Tariffs!$C$9*IF((INDEX(Routes!$M$6:$M$9,$C31)*INDEX(Routes!$Y$6:$Y$9,$C31)*F31)&lt;=2,(INDEX(Routes!$M$6:$M$9,$C31)*INDEX(Routes!$Y$6:$Y$9,$C31)*F31),IF((INDEX(Routes!$M$6:$M$9,$C31)*INDEX(Routes!$Y$6:$Y$9,$C31)*F31)&lt;=3,2+0.9*((INDEX(Routes!$M$6:$M$9,$C31)*INDEX(Routes!$Y$6:$Y$9,$C31)*F31)-2),IF((INDEX(Routes!$M$6:$M$9,$C31)*INDEX(Routes!$Y$6:$Y$9,$C31)*F31)&lt;=4,2.9+0.75*((INDEX(Routes!$M$6:$M$9,$C31)*INDEX(Routes!$Y$6:$Y$9,$C31)*F31)-3),IF((INDEX(Routes!$M$6:$M$9,$C31)*INDEX(Routes!$Y$6:$Y$9,$C31)*F31)&lt;=5,3.65+0.6*((INDEX(Routes!$M$6:$M$9,$C31)*INDEX(Routes!$Y$6:$Y$9,$C31)*F31)-4),4.25+0.5*((INDEX(Routes!$M$6:$M$9,$C31)*INDEX(Routes!$Y$6:$Y$9,$C31)*F31)-5)))))</f>
        <v>0</v>
      </c>
    </row>
    <row r="32" customFormat="false" ht="15" hidden="false" customHeight="false" outlineLevel="0" collapsed="false">
      <c r="A32" s="2" t="s">
        <v>526</v>
      </c>
      <c r="B32" s="2" t="s">
        <v>521</v>
      </c>
      <c r="C32" s="16" t="n">
        <f aca="false">Sw_Route</f>
        <v>1</v>
      </c>
      <c r="D32" s="93" t="n">
        <f aca="false">Brent</f>
        <v>82.01</v>
      </c>
      <c r="E32" s="88" t="n">
        <f aca="false">FreightMult</f>
        <v>1</v>
      </c>
      <c r="F32" s="88" t="n">
        <f aca="false">PortMult</f>
        <v>1</v>
      </c>
      <c r="G32" s="89" t="n">
        <f aca="false">UtilFH</f>
        <v>0.85</v>
      </c>
      <c r="H32" s="89" t="n">
        <f aca="false">UtilBH</f>
        <v>0.5</v>
      </c>
      <c r="I32" s="90" t="n">
        <f aca="false">Speed*1.1</f>
        <v>14.85</v>
      </c>
      <c r="J32" s="88" t="n">
        <f aca="false">PortCostMult</f>
        <v>1</v>
      </c>
      <c r="K32" s="90" t="n">
        <f aca="false">EUA</f>
        <v>75</v>
      </c>
      <c r="L32" s="71" t="n">
        <f aca="false">INDEX(Routes!$E$6:$E$9,$C32)</f>
        <v>5000</v>
      </c>
      <c r="M32" s="72" t="n">
        <f aca="false">INDEX(Routes!$F$6:$F$9,$C32)/L32</f>
        <v>0.13</v>
      </c>
      <c r="N32" s="77" t="n">
        <f aca="false">2*L32*(1+SeaMargin)/(I32*24)</f>
        <v>29.4612794612795</v>
      </c>
      <c r="O32" s="84" t="n">
        <f aca="false">(I32/RefSpeed)^SpeedExp</f>
        <v>1.331</v>
      </c>
      <c r="P32" s="2" t="n">
        <f aca="false">IF(H32&gt;0,1,0)</f>
        <v>1</v>
      </c>
      <c r="Q32" s="71" t="n">
        <f aca="false">N32/2*O32*(ConsLaden+IF(P32=1,ConsLaden,ConsBallast))</f>
        <v>1058.75</v>
      </c>
      <c r="R32" s="71" t="n">
        <f aca="false">Q32*(1-M32)</f>
        <v>921.1125</v>
      </c>
      <c r="S32" s="71" t="n">
        <f aca="false">Q32*M32</f>
        <v>137.6375</v>
      </c>
      <c r="T32" s="2" t="n">
        <f aca="false">1+P32</f>
        <v>2</v>
      </c>
      <c r="U32" s="77" t="n">
        <f aca="false">INDEX(Routes!$L$6:$L$9,$C32)*T32*F32</f>
        <v>10</v>
      </c>
      <c r="V32" s="77" t="n">
        <f aca="false">INDEX(Routes!$M$6:$M$9,$C32)*T32*F32</f>
        <v>7</v>
      </c>
      <c r="W32" s="77" t="n">
        <f aca="false">INDEX(Routes!$H$6:$H$9,$C32)*2</f>
        <v>0</v>
      </c>
      <c r="X32" s="71" t="n">
        <f aca="false">(U32+V32+W32)*ConsPort</f>
        <v>102</v>
      </c>
      <c r="Y32" s="67" t="n">
        <f aca="false">R32*D32*VLSFO_Mult+(S32+X32)*D32*MGO_Mult</f>
        <v>772292.2705</v>
      </c>
      <c r="Z32" s="67" t="n">
        <f aca="false">(INDEX(Routes!$N$6:$N$9,$C32)+AN32+MIN(AC32*INDEX(Routes!$T$6:$T$9,$C32),INDEX(Routes!$V$6:$V$9,$C32))+INDEX(Routes!$O$6:$O$9,$C32)+AO32+MIN(AC32*INDEX(Routes!$U$6:$U$9,$C32),INDEX(Routes!$W$6:$W$9,$C32))+IF(P32=1,INDEX(Routes!$N$6:$N$9,$C32)+AN32+MIN(AD32*INDEX(Routes!$T$6:$T$9,$C32),INDEX(Routes!$V$6:$V$9,$C32))+INDEX(Routes!$O$6:$O$9,$C32)+AO32+MIN(AD32*INDEX(Routes!$U$6:$U$9,$C32),INDEX(Routes!$W$6:$W$9,$C32)),0))*J32</f>
        <v>252304.2096</v>
      </c>
      <c r="AA32" s="67" t="n">
        <f aca="false">INDEX(Routes!$R$6:$R$9,$C32)+IF(P32=1,INDEX(Routes!$R$6:$R$9,$C32),INDEX(Routes!$S$6:$S$9,$C32))</f>
        <v>0</v>
      </c>
      <c r="AB32" s="67" t="n">
        <f aca="false">((R32*CO2_VLSFO+S32*CO2_MGO)*INDEX(Routes!$I$6:$I$9,$C32)+(U32*INDEX(Routes!$P$6:$P$9,$C32)+V32*INDEX(Routes!$Q$6:$Q$9,$C32))*ConsPort*CO2_MGO)*PhaseIn*K32*FX</f>
        <v>147630.2086875</v>
      </c>
      <c r="AC32" s="71" t="n">
        <f aca="false">Capacity*G32</f>
        <v>30600</v>
      </c>
      <c r="AD32" s="71" t="n">
        <f aca="false">Capacity*H32</f>
        <v>18000</v>
      </c>
      <c r="AE32" s="82" t="n">
        <f aca="false">INDEX(Routes!$J$6:$J$9,$C32)*E32</f>
        <v>52</v>
      </c>
      <c r="AF32" s="82" t="n">
        <f aca="false">INDEX(Routes!$K$6:$K$9,$C32)*E32</f>
        <v>38</v>
      </c>
      <c r="AG32" s="67" t="n">
        <f aca="false">AC32*AE32+AD32*AF32</f>
        <v>2275200</v>
      </c>
      <c r="AH32" s="67" t="n">
        <f aca="false">AG32*Commission</f>
        <v>56880</v>
      </c>
      <c r="AI32" s="67" t="n">
        <f aca="false">Y32+Z32+AA32+AB32+MiscVoy</f>
        <v>1197226.6887875</v>
      </c>
      <c r="AJ32" s="77" t="n">
        <f aca="false">N32+U32+V32+W32</f>
        <v>46.4612794612795</v>
      </c>
      <c r="AK32" s="94" t="n">
        <f aca="false">(AG32-AH32-AI32)/AJ32</f>
        <v>21977.2964294596</v>
      </c>
      <c r="AL32" s="67" t="n">
        <f aca="false">AG32-AH32-AI32-Benchmark*AJ32</f>
        <v>184790.280909469</v>
      </c>
      <c r="AM32" s="82" t="n">
        <f aca="false">IF(AC32&gt;0,((Benchmark*AJ32+AI32)/(1-Commission)-AD32*AF32)/AC32,0)</f>
        <v>45.8062583908339</v>
      </c>
      <c r="AN32" s="67" t="n">
        <f aca="false">LOA_ft*Port_Tariffs!$C$9*IF((INDEX(Routes!$L$6:$L$9,$C32)*INDEX(Routes!$X$6:$X$9,$C32)*F32)&lt;=2,(INDEX(Routes!$L$6:$L$9,$C32)*INDEX(Routes!$X$6:$X$9,$C32)*F32),IF((INDEX(Routes!$L$6:$L$9,$C32)*INDEX(Routes!$X$6:$X$9,$C32)*F32)&lt;=3,2+0.9*((INDEX(Routes!$L$6:$L$9,$C32)*INDEX(Routes!$X$6:$X$9,$C32)*F32)-2),IF((INDEX(Routes!$L$6:$L$9,$C32)*INDEX(Routes!$X$6:$X$9,$C32)*F32)&lt;=4,2.9+0.75*((INDEX(Routes!$L$6:$L$9,$C32)*INDEX(Routes!$X$6:$X$9,$C32)*F32)-3),IF((INDEX(Routes!$L$6:$L$9,$C32)*INDEX(Routes!$X$6:$X$9,$C32)*F32)&lt;=5,3.65+0.6*((INDEX(Routes!$L$6:$L$9,$C32)*INDEX(Routes!$X$6:$X$9,$C32)*F32)-4),4.25+0.5*((INDEX(Routes!$L$6:$L$9,$C32)*INDEX(Routes!$X$6:$X$9,$C32)*F32)-5)))))</f>
        <v>19557.6</v>
      </c>
      <c r="AO32" s="67" t="n">
        <f aca="false">LOA_ft*Port_Tariffs!$C$9*IF((INDEX(Routes!$M$6:$M$9,$C32)*INDEX(Routes!$Y$6:$Y$9,$C32)*F32)&lt;=2,(INDEX(Routes!$M$6:$M$9,$C32)*INDEX(Routes!$Y$6:$Y$9,$C32)*F32),IF((INDEX(Routes!$M$6:$M$9,$C32)*INDEX(Routes!$Y$6:$Y$9,$C32)*F32)&lt;=3,2+0.9*((INDEX(Routes!$M$6:$M$9,$C32)*INDEX(Routes!$Y$6:$Y$9,$C32)*F32)-2),IF((INDEX(Routes!$M$6:$M$9,$C32)*INDEX(Routes!$Y$6:$Y$9,$C32)*F32)&lt;=4,2.9+0.75*((INDEX(Routes!$M$6:$M$9,$C32)*INDEX(Routes!$Y$6:$Y$9,$C32)*F32)-3),IF((INDEX(Routes!$M$6:$M$9,$C32)*INDEX(Routes!$Y$6:$Y$9,$C32)*F32)&lt;=5,3.65+0.6*((INDEX(Routes!$M$6:$M$9,$C32)*INDEX(Routes!$Y$6:$Y$9,$C32)*F32)-4),4.25+0.5*((INDEX(Routes!$M$6:$M$9,$C32)*INDEX(Routes!$Y$6:$Y$9,$C32)*F32)-5)))))</f>
        <v>0</v>
      </c>
    </row>
    <row r="33" customFormat="false" ht="15" hidden="false" customHeight="false" outlineLevel="0" collapsed="false">
      <c r="A33" s="2" t="s">
        <v>527</v>
      </c>
      <c r="B33" s="2" t="s">
        <v>521</v>
      </c>
      <c r="C33" s="16" t="n">
        <f aca="false">Sw_Route</f>
        <v>1</v>
      </c>
      <c r="D33" s="93" t="n">
        <f aca="false">Brent</f>
        <v>82.01</v>
      </c>
      <c r="E33" s="88" t="n">
        <f aca="false">FreightMult</f>
        <v>1</v>
      </c>
      <c r="F33" s="88" t="n">
        <f aca="false">PortMult</f>
        <v>1</v>
      </c>
      <c r="G33" s="89" t="n">
        <f aca="false">UtilFH</f>
        <v>0.85</v>
      </c>
      <c r="H33" s="89" t="n">
        <f aca="false">UtilBH</f>
        <v>0.5</v>
      </c>
      <c r="I33" s="90" t="n">
        <f aca="false">Speed</f>
        <v>13.5</v>
      </c>
      <c r="J33" s="88" t="n">
        <f aca="false">PortCostMult*1.1</f>
        <v>1.1</v>
      </c>
      <c r="K33" s="90" t="n">
        <f aca="false">EUA</f>
        <v>75</v>
      </c>
      <c r="L33" s="71" t="n">
        <f aca="false">INDEX(Routes!$E$6:$E$9,$C33)</f>
        <v>5000</v>
      </c>
      <c r="M33" s="72" t="n">
        <f aca="false">INDEX(Routes!$F$6:$F$9,$C33)/L33</f>
        <v>0.13</v>
      </c>
      <c r="N33" s="77" t="n">
        <f aca="false">2*L33*(1+SeaMargin)/(I33*24)</f>
        <v>32.4074074074074</v>
      </c>
      <c r="O33" s="84" t="n">
        <f aca="false">(I33/RefSpeed)^SpeedExp</f>
        <v>1</v>
      </c>
      <c r="P33" s="2" t="n">
        <f aca="false">IF(H33&gt;0,1,0)</f>
        <v>1</v>
      </c>
      <c r="Q33" s="71" t="n">
        <f aca="false">N33/2*O33*(ConsLaden+IF(P33=1,ConsLaden,ConsBallast))</f>
        <v>875</v>
      </c>
      <c r="R33" s="71" t="n">
        <f aca="false">Q33*(1-M33)</f>
        <v>761.25</v>
      </c>
      <c r="S33" s="71" t="n">
        <f aca="false">Q33*M33</f>
        <v>113.75</v>
      </c>
      <c r="T33" s="2" t="n">
        <f aca="false">1+P33</f>
        <v>2</v>
      </c>
      <c r="U33" s="77" t="n">
        <f aca="false">INDEX(Routes!$L$6:$L$9,$C33)*T33*F33</f>
        <v>10</v>
      </c>
      <c r="V33" s="77" t="n">
        <f aca="false">INDEX(Routes!$M$6:$M$9,$C33)*T33*F33</f>
        <v>7</v>
      </c>
      <c r="W33" s="77" t="n">
        <f aca="false">INDEX(Routes!$H$6:$H$9,$C33)*2</f>
        <v>0</v>
      </c>
      <c r="X33" s="71" t="n">
        <f aca="false">(U33+V33+W33)*ConsPort</f>
        <v>102</v>
      </c>
      <c r="Y33" s="67" t="n">
        <f aca="false">R33*D33*VLSFO_Mult+(S33+X33)*D33*MGO_Mult</f>
        <v>652340.344</v>
      </c>
      <c r="Z33" s="67" t="n">
        <f aca="false">(INDEX(Routes!$N$6:$N$9,$C33)+AN33+MIN(AC33*INDEX(Routes!$T$6:$T$9,$C33),INDEX(Routes!$V$6:$V$9,$C33))+INDEX(Routes!$O$6:$O$9,$C33)+AO33+MIN(AC33*INDEX(Routes!$U$6:$U$9,$C33),INDEX(Routes!$W$6:$W$9,$C33))+IF(P33=1,INDEX(Routes!$N$6:$N$9,$C33)+AN33+MIN(AD33*INDEX(Routes!$T$6:$T$9,$C33),INDEX(Routes!$V$6:$V$9,$C33))+INDEX(Routes!$O$6:$O$9,$C33)+AO33+MIN(AD33*INDEX(Routes!$U$6:$U$9,$C33),INDEX(Routes!$W$6:$W$9,$C33)),0))*J33</f>
        <v>277534.63056</v>
      </c>
      <c r="AA33" s="67" t="n">
        <f aca="false">INDEX(Routes!$R$6:$R$9,$C33)+IF(P33=1,INDEX(Routes!$R$6:$R$9,$C33),INDEX(Routes!$S$6:$S$9,$C33))</f>
        <v>0</v>
      </c>
      <c r="AB33" s="67" t="n">
        <f aca="false">((R33*CO2_VLSFO+S33*CO2_MGO)*INDEX(Routes!$I$6:$I$9,$C33)+(U33*INDEX(Routes!$P$6:$P$9,$C33)+V33*INDEX(Routes!$Q$6:$Q$9,$C33))*ConsPort*CO2_MGO)*PhaseIn*K33*FX</f>
        <v>123936.40875</v>
      </c>
      <c r="AC33" s="71" t="n">
        <f aca="false">Capacity*G33</f>
        <v>30600</v>
      </c>
      <c r="AD33" s="71" t="n">
        <f aca="false">Capacity*H33</f>
        <v>18000</v>
      </c>
      <c r="AE33" s="82" t="n">
        <f aca="false">INDEX(Routes!$J$6:$J$9,$C33)*E33</f>
        <v>52</v>
      </c>
      <c r="AF33" s="82" t="n">
        <f aca="false">INDEX(Routes!$K$6:$K$9,$C33)*E33</f>
        <v>38</v>
      </c>
      <c r="AG33" s="67" t="n">
        <f aca="false">AC33*AE33+AD33*AF33</f>
        <v>2275200</v>
      </c>
      <c r="AH33" s="67" t="n">
        <f aca="false">AG33*Commission</f>
        <v>56880</v>
      </c>
      <c r="AI33" s="67" t="n">
        <f aca="false">Y33+Z33+AA33+AB33+MiscVoy</f>
        <v>1078811.38331</v>
      </c>
      <c r="AJ33" s="77" t="n">
        <f aca="false">N33+U33+V33+W33</f>
        <v>49.4074074074074</v>
      </c>
      <c r="AK33" s="94" t="n">
        <f aca="false">(AG33-AH33-AI33)/AJ33</f>
        <v>23063.517729108</v>
      </c>
      <c r="AL33" s="67" t="n">
        <f aca="false">AG33-AH33-AI33-Benchmark*AJ33</f>
        <v>250175.283356667</v>
      </c>
      <c r="AM33" s="82" t="n">
        <f aca="false">IF(AC33&gt;0,((Benchmark*AJ33+AI33)/(1-Commission)-AD33*AF33)/AC33,0)</f>
        <v>43.6147047643148</v>
      </c>
      <c r="AN33" s="67" t="n">
        <f aca="false">LOA_ft*Port_Tariffs!$C$9*IF((INDEX(Routes!$L$6:$L$9,$C33)*INDEX(Routes!$X$6:$X$9,$C33)*F33)&lt;=2,(INDEX(Routes!$L$6:$L$9,$C33)*INDEX(Routes!$X$6:$X$9,$C33)*F33),IF((INDEX(Routes!$L$6:$L$9,$C33)*INDEX(Routes!$X$6:$X$9,$C33)*F33)&lt;=3,2+0.9*((INDEX(Routes!$L$6:$L$9,$C33)*INDEX(Routes!$X$6:$X$9,$C33)*F33)-2),IF((INDEX(Routes!$L$6:$L$9,$C33)*INDEX(Routes!$X$6:$X$9,$C33)*F33)&lt;=4,2.9+0.75*((INDEX(Routes!$L$6:$L$9,$C33)*INDEX(Routes!$X$6:$X$9,$C33)*F33)-3),IF((INDEX(Routes!$L$6:$L$9,$C33)*INDEX(Routes!$X$6:$X$9,$C33)*F33)&lt;=5,3.65+0.6*((INDEX(Routes!$L$6:$L$9,$C33)*INDEX(Routes!$X$6:$X$9,$C33)*F33)-4),4.25+0.5*((INDEX(Routes!$L$6:$L$9,$C33)*INDEX(Routes!$X$6:$X$9,$C33)*F33)-5)))))</f>
        <v>19557.6</v>
      </c>
      <c r="AO33" s="67" t="n">
        <f aca="false">LOA_ft*Port_Tariffs!$C$9*IF((INDEX(Routes!$M$6:$M$9,$C33)*INDEX(Routes!$Y$6:$Y$9,$C33)*F33)&lt;=2,(INDEX(Routes!$M$6:$M$9,$C33)*INDEX(Routes!$Y$6:$Y$9,$C33)*F33),IF((INDEX(Routes!$M$6:$M$9,$C33)*INDEX(Routes!$Y$6:$Y$9,$C33)*F33)&lt;=3,2+0.9*((INDEX(Routes!$M$6:$M$9,$C33)*INDEX(Routes!$Y$6:$Y$9,$C33)*F33)-2),IF((INDEX(Routes!$M$6:$M$9,$C33)*INDEX(Routes!$Y$6:$Y$9,$C33)*F33)&lt;=4,2.9+0.75*((INDEX(Routes!$M$6:$M$9,$C33)*INDEX(Routes!$Y$6:$Y$9,$C33)*F33)-3),IF((INDEX(Routes!$M$6:$M$9,$C33)*INDEX(Routes!$Y$6:$Y$9,$C33)*F33)&lt;=5,3.65+0.6*((INDEX(Routes!$M$6:$M$9,$C33)*INDEX(Routes!$Y$6:$Y$9,$C33)*F33)-4),4.25+0.5*((INDEX(Routes!$M$6:$M$9,$C33)*INDEX(Routes!$Y$6:$Y$9,$C33)*F33)-5)))))</f>
        <v>0</v>
      </c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customFormat="false" ht="15" hidden="false" customHeight="false" outlineLevel="0" collapsed="false">
      <c r="A35" s="18" t="s">
        <v>528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customFormat="false" ht="15" hidden="false" customHeight="false" outlineLevel="0" collapsed="false">
      <c r="A36" s="2" t="s">
        <v>529</v>
      </c>
      <c r="B36" s="2" t="s">
        <v>530</v>
      </c>
      <c r="C36" s="13" t="n">
        <v>1</v>
      </c>
      <c r="D36" s="93" t="n">
        <f aca="false">Brent</f>
        <v>82.01</v>
      </c>
      <c r="E36" s="88" t="n">
        <f aca="false">FreightMult</f>
        <v>1</v>
      </c>
      <c r="F36" s="88" t="n">
        <f aca="false">PortMult</f>
        <v>1</v>
      </c>
      <c r="G36" s="89" t="n">
        <f aca="false">UtilFH</f>
        <v>0.85</v>
      </c>
      <c r="H36" s="89" t="n">
        <f aca="false">UtilBH</f>
        <v>0.5</v>
      </c>
      <c r="I36" s="90" t="n">
        <f aca="false">Speed</f>
        <v>13.5</v>
      </c>
      <c r="J36" s="88" t="n">
        <f aca="false">PortCostMult</f>
        <v>1</v>
      </c>
      <c r="K36" s="90" t="n">
        <f aca="false">EUA</f>
        <v>75</v>
      </c>
      <c r="L36" s="71" t="n">
        <f aca="false">INDEX(Routes!$E$6:$E$9,$C36)</f>
        <v>5000</v>
      </c>
      <c r="M36" s="72" t="n">
        <f aca="false">INDEX(Routes!$F$6:$F$9,$C36)/L36</f>
        <v>0.13</v>
      </c>
      <c r="N36" s="77" t="n">
        <f aca="false">2*L36*(1+SeaMargin)/(I36*24)</f>
        <v>32.4074074074074</v>
      </c>
      <c r="O36" s="84" t="n">
        <f aca="false">(I36/RefSpeed)^SpeedExp</f>
        <v>1</v>
      </c>
      <c r="P36" s="2" t="n">
        <f aca="false">IF(H36&gt;0,1,0)</f>
        <v>1</v>
      </c>
      <c r="Q36" s="71" t="n">
        <f aca="false">N36/2*O36*(ConsLaden+IF(P36=1,ConsLaden,ConsBallast))</f>
        <v>875</v>
      </c>
      <c r="R36" s="71" t="n">
        <f aca="false">Q36*(1-M36)</f>
        <v>761.25</v>
      </c>
      <c r="S36" s="71" t="n">
        <f aca="false">Q36*M36</f>
        <v>113.75</v>
      </c>
      <c r="T36" s="2" t="n">
        <f aca="false">1+P36</f>
        <v>2</v>
      </c>
      <c r="U36" s="77" t="n">
        <f aca="false">INDEX(Routes!$L$6:$L$9,$C36)*T36*F36</f>
        <v>10</v>
      </c>
      <c r="V36" s="77" t="n">
        <f aca="false">INDEX(Routes!$M$6:$M$9,$C36)*T36*F36</f>
        <v>7</v>
      </c>
      <c r="W36" s="77" t="n">
        <f aca="false">INDEX(Routes!$H$6:$H$9,$C36)*2</f>
        <v>0</v>
      </c>
      <c r="X36" s="71" t="n">
        <f aca="false">(U36+V36+W36)*ConsPort</f>
        <v>102</v>
      </c>
      <c r="Y36" s="67" t="n">
        <f aca="false">R36*D36*VLSFO_Mult+(S36+X36)*D36*MGO_Mult</f>
        <v>652340.344</v>
      </c>
      <c r="Z36" s="67" t="n">
        <f aca="false">(INDEX(Routes!$N$6:$N$9,$C36)+AN36+MIN(AC36*INDEX(Routes!$T$6:$T$9,$C36),INDEX(Routes!$V$6:$V$9,$C36))+INDEX(Routes!$O$6:$O$9,$C36)+AO36+MIN(AC36*INDEX(Routes!$U$6:$U$9,$C36),INDEX(Routes!$W$6:$W$9,$C36))+IF(P36=1,INDEX(Routes!$N$6:$N$9,$C36)+AN36+MIN(AD36*INDEX(Routes!$T$6:$T$9,$C36),INDEX(Routes!$V$6:$V$9,$C36))+INDEX(Routes!$O$6:$O$9,$C36)+AO36+MIN(AD36*INDEX(Routes!$U$6:$U$9,$C36),INDEX(Routes!$W$6:$W$9,$C36)),0))*J36</f>
        <v>252304.2096</v>
      </c>
      <c r="AA36" s="67" t="n">
        <f aca="false">INDEX(Routes!$R$6:$R$9,$C36)+IF(P36=1,INDEX(Routes!$R$6:$R$9,$C36),INDEX(Routes!$S$6:$S$9,$C36))</f>
        <v>0</v>
      </c>
      <c r="AB36" s="67" t="n">
        <f aca="false">((R36*CO2_VLSFO+S36*CO2_MGO)*INDEX(Routes!$I$6:$I$9,$C36)+(U36*INDEX(Routes!$P$6:$P$9,$C36)+V36*INDEX(Routes!$Q$6:$Q$9,$C36))*ConsPort*CO2_MGO)*PhaseIn*K36*FX</f>
        <v>123936.40875</v>
      </c>
      <c r="AC36" s="71" t="n">
        <f aca="false">Capacity*G36</f>
        <v>30600</v>
      </c>
      <c r="AD36" s="71" t="n">
        <f aca="false">Capacity*H36</f>
        <v>18000</v>
      </c>
      <c r="AE36" s="82" t="n">
        <f aca="false">INDEX(Routes!$J$6:$J$9,$C36)*E36</f>
        <v>52</v>
      </c>
      <c r="AF36" s="82" t="n">
        <f aca="false">INDEX(Routes!$K$6:$K$9,$C36)*E36</f>
        <v>38</v>
      </c>
      <c r="AG36" s="67" t="n">
        <f aca="false">AC36*AE36+AD36*AF36</f>
        <v>2275200</v>
      </c>
      <c r="AH36" s="67" t="n">
        <f aca="false">AG36*Commission</f>
        <v>56880</v>
      </c>
      <c r="AI36" s="67" t="n">
        <f aca="false">Y36+Z36+AA36+AB36+MiscVoy</f>
        <v>1053580.96235</v>
      </c>
      <c r="AJ36" s="77" t="n">
        <f aca="false">N36+U36+V36+W36</f>
        <v>49.4074074074074</v>
      </c>
      <c r="AK36" s="94" t="n">
        <f aca="false">(AG36-AH36-AI36)/AJ36</f>
        <v>23574.1784232009</v>
      </c>
      <c r="AL36" s="67" t="n">
        <f aca="false">AG36-AH36-AI36-Benchmark*AJ36</f>
        <v>275405.704316667</v>
      </c>
      <c r="AM36" s="82" t="n">
        <f aca="false">IF(AC36&gt;0,((Benchmark*AJ36+AI36)/(1-Commission)-AD36*AF36)/AC36,0)</f>
        <v>42.7690395737668</v>
      </c>
      <c r="AN36" s="67" t="n">
        <f aca="false">LOA_ft*Port_Tariffs!$C$9*IF((INDEX(Routes!$L$6:$L$9,$C36)*INDEX(Routes!$X$6:$X$9,$C36)*F36)&lt;=2,(INDEX(Routes!$L$6:$L$9,$C36)*INDEX(Routes!$X$6:$X$9,$C36)*F36),IF((INDEX(Routes!$L$6:$L$9,$C36)*INDEX(Routes!$X$6:$X$9,$C36)*F36)&lt;=3,2+0.9*((INDEX(Routes!$L$6:$L$9,$C36)*INDEX(Routes!$X$6:$X$9,$C36)*F36)-2),IF((INDEX(Routes!$L$6:$L$9,$C36)*INDEX(Routes!$X$6:$X$9,$C36)*F36)&lt;=4,2.9+0.75*((INDEX(Routes!$L$6:$L$9,$C36)*INDEX(Routes!$X$6:$X$9,$C36)*F36)-3),IF((INDEX(Routes!$L$6:$L$9,$C36)*INDEX(Routes!$X$6:$X$9,$C36)*F36)&lt;=5,3.65+0.6*((INDEX(Routes!$L$6:$L$9,$C36)*INDEX(Routes!$X$6:$X$9,$C36)*F36)-4),4.25+0.5*((INDEX(Routes!$L$6:$L$9,$C36)*INDEX(Routes!$X$6:$X$9,$C36)*F36)-5)))))</f>
        <v>19557.6</v>
      </c>
      <c r="AO36" s="67" t="n">
        <f aca="false">LOA_ft*Port_Tariffs!$C$9*IF((INDEX(Routes!$M$6:$M$9,$C36)*INDEX(Routes!$Y$6:$Y$9,$C36)*F36)&lt;=2,(INDEX(Routes!$M$6:$M$9,$C36)*INDEX(Routes!$Y$6:$Y$9,$C36)*F36),IF((INDEX(Routes!$M$6:$M$9,$C36)*INDEX(Routes!$Y$6:$Y$9,$C36)*F36)&lt;=3,2+0.9*((INDEX(Routes!$M$6:$M$9,$C36)*INDEX(Routes!$Y$6:$Y$9,$C36)*F36)-2),IF((INDEX(Routes!$M$6:$M$9,$C36)*INDEX(Routes!$Y$6:$Y$9,$C36)*F36)&lt;=4,2.9+0.75*((INDEX(Routes!$M$6:$M$9,$C36)*INDEX(Routes!$Y$6:$Y$9,$C36)*F36)-3),IF((INDEX(Routes!$M$6:$M$9,$C36)*INDEX(Routes!$Y$6:$Y$9,$C36)*F36)&lt;=5,3.65+0.6*((INDEX(Routes!$M$6:$M$9,$C36)*INDEX(Routes!$Y$6:$Y$9,$C36)*F36)-4),4.25+0.5*((INDEX(Routes!$M$6:$M$9,$C36)*INDEX(Routes!$Y$6:$Y$9,$C36)*F36)-5)))))</f>
        <v>0</v>
      </c>
    </row>
    <row r="37" customFormat="false" ht="15" hidden="false" customHeight="false" outlineLevel="0" collapsed="false">
      <c r="A37" s="2" t="s">
        <v>531</v>
      </c>
      <c r="B37" s="2" t="s">
        <v>530</v>
      </c>
      <c r="C37" s="13" t="n">
        <v>2</v>
      </c>
      <c r="D37" s="93" t="n">
        <f aca="false">Brent</f>
        <v>82.01</v>
      </c>
      <c r="E37" s="88" t="n">
        <f aca="false">FreightMult</f>
        <v>1</v>
      </c>
      <c r="F37" s="88" t="n">
        <f aca="false">PortMult</f>
        <v>1</v>
      </c>
      <c r="G37" s="89" t="n">
        <f aca="false">UtilFH</f>
        <v>0.85</v>
      </c>
      <c r="H37" s="89" t="n">
        <f aca="false">UtilBH</f>
        <v>0.5</v>
      </c>
      <c r="I37" s="90" t="n">
        <f aca="false">Speed</f>
        <v>13.5</v>
      </c>
      <c r="J37" s="88" t="n">
        <f aca="false">PortCostMult</f>
        <v>1</v>
      </c>
      <c r="K37" s="90" t="n">
        <f aca="false">EUA</f>
        <v>75</v>
      </c>
      <c r="L37" s="71" t="n">
        <f aca="false">INDEX(Routes!$E$6:$E$9,$C37)</f>
        <v>9650</v>
      </c>
      <c r="M37" s="72" t="n">
        <f aca="false">INDEX(Routes!$F$6:$F$9,$C37)/L37</f>
        <v>0.0207253886010363</v>
      </c>
      <c r="N37" s="77" t="n">
        <f aca="false">2*L37*(1+SeaMargin)/(I37*24)</f>
        <v>62.5462962962963</v>
      </c>
      <c r="O37" s="84" t="n">
        <f aca="false">(I37/RefSpeed)^SpeedExp</f>
        <v>1</v>
      </c>
      <c r="P37" s="2" t="n">
        <f aca="false">IF(H37&gt;0,1,0)</f>
        <v>1</v>
      </c>
      <c r="Q37" s="71" t="n">
        <f aca="false">N37/2*O37*(ConsLaden+IF(P37=1,ConsLaden,ConsBallast))</f>
        <v>1688.75</v>
      </c>
      <c r="R37" s="71" t="n">
        <f aca="false">Q37*(1-M37)</f>
        <v>1653.75</v>
      </c>
      <c r="S37" s="71" t="n">
        <f aca="false">Q37*M37</f>
        <v>35</v>
      </c>
      <c r="T37" s="2" t="n">
        <f aca="false">1+P37</f>
        <v>2</v>
      </c>
      <c r="U37" s="77" t="n">
        <f aca="false">INDEX(Routes!$L$6:$L$9,$C37)*T37*F37</f>
        <v>10</v>
      </c>
      <c r="V37" s="77" t="n">
        <f aca="false">INDEX(Routes!$M$6:$M$9,$C37)*T37*F37</f>
        <v>7</v>
      </c>
      <c r="W37" s="77" t="n">
        <f aca="false">INDEX(Routes!$H$6:$H$9,$C37)*2</f>
        <v>3</v>
      </c>
      <c r="X37" s="71" t="n">
        <f aca="false">(U37+V37+W37)*ConsPort</f>
        <v>120</v>
      </c>
      <c r="Y37" s="67" t="n">
        <f aca="false">R37*D37*VLSFO_Mult+(S37+X37)*D37*MGO_Mult</f>
        <v>1167607.12375</v>
      </c>
      <c r="Z37" s="67" t="n">
        <f aca="false">(INDEX(Routes!$N$6:$N$9,$C37)+AN37+MIN(AC37*INDEX(Routes!$T$6:$T$9,$C37),INDEX(Routes!$V$6:$V$9,$C37))+INDEX(Routes!$O$6:$O$9,$C37)+AO37+MIN(AC37*INDEX(Routes!$U$6:$U$9,$C37),INDEX(Routes!$W$6:$W$9,$C37))+IF(P37=1,INDEX(Routes!$N$6:$N$9,$C37)+AN37+MIN(AD37*INDEX(Routes!$T$6:$T$9,$C37),INDEX(Routes!$V$6:$V$9,$C37))+INDEX(Routes!$O$6:$O$9,$C37)+AO37+MIN(AD37*INDEX(Routes!$U$6:$U$9,$C37),INDEX(Routes!$W$6:$W$9,$C37)),0))*J37</f>
        <v>260742</v>
      </c>
      <c r="AA37" s="67" t="n">
        <f aca="false">INDEX(Routes!$R$6:$R$9,$C37)+IF(P37=1,INDEX(Routes!$R$6:$R$9,$C37),INDEX(Routes!$S$6:$S$9,$C37))</f>
        <v>426920</v>
      </c>
      <c r="AB37" s="67" t="n">
        <f aca="false">((R37*CO2_VLSFO+S37*CO2_MGO)*INDEX(Routes!$I$6:$I$9,$C37)+(U37*INDEX(Routes!$P$6:$P$9,$C37)+V37*INDEX(Routes!$Q$6:$Q$9,$C37))*ConsPort*CO2_MGO)*PhaseIn*K37*FX</f>
        <v>0</v>
      </c>
      <c r="AC37" s="71" t="n">
        <f aca="false">Capacity*G37</f>
        <v>30600</v>
      </c>
      <c r="AD37" s="71" t="n">
        <f aca="false">Capacity*H37</f>
        <v>18000</v>
      </c>
      <c r="AE37" s="82" t="n">
        <f aca="false">INDEX(Routes!$J$6:$J$9,$C37)*E37</f>
        <v>92</v>
      </c>
      <c r="AF37" s="82" t="n">
        <f aca="false">INDEX(Routes!$K$6:$K$9,$C37)*E37</f>
        <v>52</v>
      </c>
      <c r="AG37" s="67" t="n">
        <f aca="false">AC37*AE37+AD37*AF37</f>
        <v>3751200</v>
      </c>
      <c r="AH37" s="67" t="n">
        <f aca="false">AG37*Commission</f>
        <v>93780</v>
      </c>
      <c r="AI37" s="67" t="n">
        <f aca="false">Y37+Z37+AA37+AB37+MiscVoy</f>
        <v>1880269.12375</v>
      </c>
      <c r="AJ37" s="77" t="n">
        <f aca="false">N37+U37+V37+W37</f>
        <v>82.5462962962963</v>
      </c>
      <c r="AK37" s="94" t="n">
        <f aca="false">(AG37-AH37-AI37)/AJ37</f>
        <v>21529.1412938867</v>
      </c>
      <c r="AL37" s="67" t="n">
        <f aca="false">AG37-AH37-AI37-Benchmark*AJ37</f>
        <v>291317.542916667</v>
      </c>
      <c r="AM37" s="82" t="n">
        <f aca="false">IF(AC37&gt;0,((Benchmark*AJ37+AI37)/(1-Commission)-AD37*AF37)/AC37,0)</f>
        <v>82.2357116501871</v>
      </c>
      <c r="AN37" s="67" t="n">
        <f aca="false">LOA_ft*Port_Tariffs!$C$9*IF((INDEX(Routes!$L$6:$L$9,$C37)*INDEX(Routes!$X$6:$X$9,$C37)*F37)&lt;=2,(INDEX(Routes!$L$6:$L$9,$C37)*INDEX(Routes!$X$6:$X$9,$C37)*F37),IF((INDEX(Routes!$L$6:$L$9,$C37)*INDEX(Routes!$X$6:$X$9,$C37)*F37)&lt;=3,2+0.9*((INDEX(Routes!$L$6:$L$9,$C37)*INDEX(Routes!$X$6:$X$9,$C37)*F37)-2),IF((INDEX(Routes!$L$6:$L$9,$C37)*INDEX(Routes!$X$6:$X$9,$C37)*F37)&lt;=4,2.9+0.75*((INDEX(Routes!$L$6:$L$9,$C37)*INDEX(Routes!$X$6:$X$9,$C37)*F37)-3),IF((INDEX(Routes!$L$6:$L$9,$C37)*INDEX(Routes!$X$6:$X$9,$C37)*F37)&lt;=5,3.65+0.6*((INDEX(Routes!$L$6:$L$9,$C37)*INDEX(Routes!$X$6:$X$9,$C37)*F37)-4),4.25+0.5*((INDEX(Routes!$L$6:$L$9,$C37)*INDEX(Routes!$X$6:$X$9,$C37)*F37)-5)))))</f>
        <v>19557.6</v>
      </c>
      <c r="AO37" s="67" t="n">
        <f aca="false">LOA_ft*Port_Tariffs!$C$9*IF((INDEX(Routes!$M$6:$M$9,$C37)*INDEX(Routes!$Y$6:$Y$9,$C37)*F37)&lt;=2,(INDEX(Routes!$M$6:$M$9,$C37)*INDEX(Routes!$Y$6:$Y$9,$C37)*F37),IF((INDEX(Routes!$M$6:$M$9,$C37)*INDEX(Routes!$Y$6:$Y$9,$C37)*F37)&lt;=3,2+0.9*((INDEX(Routes!$M$6:$M$9,$C37)*INDEX(Routes!$Y$6:$Y$9,$C37)*F37)-2),IF((INDEX(Routes!$M$6:$M$9,$C37)*INDEX(Routes!$Y$6:$Y$9,$C37)*F37)&lt;=4,2.9+0.75*((INDEX(Routes!$M$6:$M$9,$C37)*INDEX(Routes!$Y$6:$Y$9,$C37)*F37)-3),IF((INDEX(Routes!$M$6:$M$9,$C37)*INDEX(Routes!$Y$6:$Y$9,$C37)*F37)&lt;=5,3.65+0.6*((INDEX(Routes!$M$6:$M$9,$C37)*INDEX(Routes!$Y$6:$Y$9,$C37)*F37)-4),4.25+0.5*((INDEX(Routes!$M$6:$M$9,$C37)*INDEX(Routes!$Y$6:$Y$9,$C37)*F37)-5)))))</f>
        <v>0</v>
      </c>
    </row>
    <row r="38" customFormat="false" ht="15" hidden="false" customHeight="false" outlineLevel="0" collapsed="false">
      <c r="A38" s="2" t="s">
        <v>532</v>
      </c>
      <c r="B38" s="2" t="s">
        <v>530</v>
      </c>
      <c r="C38" s="13" t="n">
        <v>3</v>
      </c>
      <c r="D38" s="93" t="n">
        <f aca="false">Brent</f>
        <v>82.01</v>
      </c>
      <c r="E38" s="88" t="n">
        <f aca="false">FreightMult</f>
        <v>1</v>
      </c>
      <c r="F38" s="88" t="n">
        <f aca="false">PortMult</f>
        <v>1</v>
      </c>
      <c r="G38" s="89" t="n">
        <f aca="false">UtilFH</f>
        <v>0.85</v>
      </c>
      <c r="H38" s="89" t="n">
        <f aca="false">UtilBH</f>
        <v>0.5</v>
      </c>
      <c r="I38" s="90" t="n">
        <f aca="false">Speed</f>
        <v>13.5</v>
      </c>
      <c r="J38" s="88" t="n">
        <f aca="false">PortCostMult</f>
        <v>1</v>
      </c>
      <c r="K38" s="90" t="n">
        <f aca="false">EUA</f>
        <v>75</v>
      </c>
      <c r="L38" s="71" t="n">
        <f aca="false">INDEX(Routes!$E$6:$E$9,$C38)</f>
        <v>6350</v>
      </c>
      <c r="M38" s="72" t="n">
        <f aca="false">INDEX(Routes!$F$6:$F$9,$C38)/L38</f>
        <v>0.0708661417322835</v>
      </c>
      <c r="N38" s="77" t="n">
        <f aca="false">2*L38*(1+SeaMargin)/(I38*24)</f>
        <v>41.1574074074074</v>
      </c>
      <c r="O38" s="84" t="n">
        <f aca="false">(I38/RefSpeed)^SpeedExp</f>
        <v>1</v>
      </c>
      <c r="P38" s="2" t="n">
        <f aca="false">IF(H38&gt;0,1,0)</f>
        <v>1</v>
      </c>
      <c r="Q38" s="71" t="n">
        <f aca="false">N38/2*O38*(ConsLaden+IF(P38=1,ConsLaden,ConsBallast))</f>
        <v>1111.25</v>
      </c>
      <c r="R38" s="71" t="n">
        <f aca="false">Q38*(1-M38)</f>
        <v>1032.5</v>
      </c>
      <c r="S38" s="71" t="n">
        <f aca="false">Q38*M38</f>
        <v>78.75</v>
      </c>
      <c r="T38" s="2" t="n">
        <f aca="false">1+P38</f>
        <v>2</v>
      </c>
      <c r="U38" s="77" t="n">
        <f aca="false">INDEX(Routes!$L$6:$L$9,$C38)*T38*F38</f>
        <v>7</v>
      </c>
      <c r="V38" s="77" t="n">
        <f aca="false">INDEX(Routes!$M$6:$M$9,$C38)*T38*F38</f>
        <v>8</v>
      </c>
      <c r="W38" s="77" t="n">
        <f aca="false">INDEX(Routes!$H$6:$H$9,$C38)*2</f>
        <v>2</v>
      </c>
      <c r="X38" s="71" t="n">
        <f aca="false">(U38+V38+W38)*ConsPort</f>
        <v>102</v>
      </c>
      <c r="Y38" s="67" t="n">
        <f aca="false">R38*D38*VLSFO_Mult+(S38+X38)*D38*MGO_Mult</f>
        <v>795786.08525</v>
      </c>
      <c r="Z38" s="67" t="n">
        <f aca="false">(INDEX(Routes!$N$6:$N$9,$C38)+AN38+MIN(AC38*INDEX(Routes!$T$6:$T$9,$C38),INDEX(Routes!$V$6:$V$9,$C38))+INDEX(Routes!$O$6:$O$9,$C38)+AO38+MIN(AC38*INDEX(Routes!$U$6:$U$9,$C38),INDEX(Routes!$W$6:$W$9,$C38))+IF(P38=1,INDEX(Routes!$N$6:$N$9,$C38)+AN38+MIN(AD38*INDEX(Routes!$T$6:$T$9,$C38),INDEX(Routes!$V$6:$V$9,$C38))+INDEX(Routes!$O$6:$O$9,$C38)+AO38+MIN(AD38*INDEX(Routes!$U$6:$U$9,$C38),INDEX(Routes!$W$6:$W$9,$C38)),0))*J38</f>
        <v>231562.2096</v>
      </c>
      <c r="AA38" s="67" t="n">
        <f aca="false">INDEX(Routes!$R$6:$R$9,$C38)+IF(P38=1,INDEX(Routes!$R$6:$R$9,$C38),INDEX(Routes!$S$6:$S$9,$C38))</f>
        <v>752016</v>
      </c>
      <c r="AB38" s="67" t="n">
        <f aca="false">((R38*CO2_VLSFO+S38*CO2_MGO)*INDEX(Routes!$I$6:$I$9,$C38)+(U38*INDEX(Routes!$P$6:$P$9,$C38)+V38*INDEX(Routes!$Q$6:$Q$9,$C38))*ConsPort*CO2_MGO)*PhaseIn*K38*FX</f>
        <v>154150.486875</v>
      </c>
      <c r="AC38" s="71" t="n">
        <f aca="false">Capacity*G38</f>
        <v>30600</v>
      </c>
      <c r="AD38" s="71" t="n">
        <f aca="false">Capacity*H38</f>
        <v>18000</v>
      </c>
      <c r="AE38" s="82" t="n">
        <f aca="false">INDEX(Routes!$J$6:$J$9,$C38)*E38</f>
        <v>75</v>
      </c>
      <c r="AF38" s="82" t="n">
        <f aca="false">INDEX(Routes!$K$6:$K$9,$C38)*E38</f>
        <v>55</v>
      </c>
      <c r="AG38" s="67" t="n">
        <f aca="false">AC38*AE38+AD38*AF38</f>
        <v>3285000</v>
      </c>
      <c r="AH38" s="67" t="n">
        <f aca="false">AG38*Commission</f>
        <v>82125</v>
      </c>
      <c r="AI38" s="67" t="n">
        <f aca="false">Y38+Z38+AA38+AB38+MiscVoy</f>
        <v>1958514.781725</v>
      </c>
      <c r="AJ38" s="77" t="n">
        <f aca="false">N38+U38+V38+W38</f>
        <v>58.1574074074074</v>
      </c>
      <c r="AK38" s="94" t="n">
        <f aca="false">(AG38-AH38-AI38)/AJ38</f>
        <v>21396.4183368413</v>
      </c>
      <c r="AL38" s="67" t="n">
        <f aca="false">AG38-AH38-AI38-Benchmark*AJ38</f>
        <v>197526.884941667</v>
      </c>
      <c r="AM38" s="82" t="n">
        <f aca="false">IF(AC38&gt;0,((Benchmark*AJ38+AI38)/(1-Commission)-AD38*AF38)/AC38,0)</f>
        <v>68.3793569652533</v>
      </c>
      <c r="AN38" s="67" t="n">
        <f aca="false">LOA_ft*Port_Tariffs!$C$9*IF((INDEX(Routes!$L$6:$L$9,$C38)*INDEX(Routes!$X$6:$X$9,$C38)*F38)&lt;=2,(INDEX(Routes!$L$6:$L$9,$C38)*INDEX(Routes!$X$6:$X$9,$C38)*F38),IF((INDEX(Routes!$L$6:$L$9,$C38)*INDEX(Routes!$X$6:$X$9,$C38)*F38)&lt;=3,2+0.9*((INDEX(Routes!$L$6:$L$9,$C38)*INDEX(Routes!$X$6:$X$9,$C38)*F38)-2),IF((INDEX(Routes!$L$6:$L$9,$C38)*INDEX(Routes!$X$6:$X$9,$C38)*F38)&lt;=4,2.9+0.75*((INDEX(Routes!$L$6:$L$9,$C38)*INDEX(Routes!$X$6:$X$9,$C38)*F38)-3),IF((INDEX(Routes!$L$6:$L$9,$C38)*INDEX(Routes!$X$6:$X$9,$C38)*F38)&lt;=5,3.65+0.6*((INDEX(Routes!$L$6:$L$9,$C38)*INDEX(Routes!$X$6:$X$9,$C38)*F38)-4),4.25+0.5*((INDEX(Routes!$L$6:$L$9,$C38)*INDEX(Routes!$X$6:$X$9,$C38)*F38)-5)))))</f>
        <v>0</v>
      </c>
      <c r="AO38" s="67" t="n">
        <f aca="false">LOA_ft*Port_Tariffs!$C$9*IF((INDEX(Routes!$M$6:$M$9,$C38)*INDEX(Routes!$Y$6:$Y$9,$C38)*F38)&lt;=2,(INDEX(Routes!$M$6:$M$9,$C38)*INDEX(Routes!$Y$6:$Y$9,$C38)*F38),IF((INDEX(Routes!$M$6:$M$9,$C38)*INDEX(Routes!$Y$6:$Y$9,$C38)*F38)&lt;=3,2+0.9*((INDEX(Routes!$M$6:$M$9,$C38)*INDEX(Routes!$Y$6:$Y$9,$C38)*F38)-2),IF((INDEX(Routes!$M$6:$M$9,$C38)*INDEX(Routes!$Y$6:$Y$9,$C38)*F38)&lt;=4,2.9+0.75*((INDEX(Routes!$M$6:$M$9,$C38)*INDEX(Routes!$Y$6:$Y$9,$C38)*F38)-3),IF((INDEX(Routes!$M$6:$M$9,$C38)*INDEX(Routes!$Y$6:$Y$9,$C38)*F38)&lt;=5,3.65+0.6*((INDEX(Routes!$M$6:$M$9,$C38)*INDEX(Routes!$Y$6:$Y$9,$C38)*F38)-4),4.25+0.5*((INDEX(Routes!$M$6:$M$9,$C38)*INDEX(Routes!$Y$6:$Y$9,$C38)*F38)-5)))))</f>
        <v>0</v>
      </c>
    </row>
    <row r="39" customFormat="false" ht="15" hidden="false" customHeight="false" outlineLevel="0" collapsed="false">
      <c r="A39" s="2" t="s">
        <v>533</v>
      </c>
      <c r="B39" s="2" t="s">
        <v>530</v>
      </c>
      <c r="C39" s="13" t="n">
        <v>4</v>
      </c>
      <c r="D39" s="93" t="n">
        <f aca="false">Brent</f>
        <v>82.01</v>
      </c>
      <c r="E39" s="88" t="n">
        <f aca="false">FreightMult</f>
        <v>1</v>
      </c>
      <c r="F39" s="88" t="n">
        <f aca="false">PortMult</f>
        <v>1</v>
      </c>
      <c r="G39" s="89" t="n">
        <f aca="false">UtilFH</f>
        <v>0.85</v>
      </c>
      <c r="H39" s="89" t="n">
        <f aca="false">UtilBH</f>
        <v>0.5</v>
      </c>
      <c r="I39" s="90" t="n">
        <f aca="false">Speed</f>
        <v>13.5</v>
      </c>
      <c r="J39" s="88" t="n">
        <f aca="false">PortCostMult</f>
        <v>1</v>
      </c>
      <c r="K39" s="90" t="n">
        <f aca="false">EUA</f>
        <v>75</v>
      </c>
      <c r="L39" s="71" t="n">
        <f aca="false">INDEX(Routes!$E$6:$E$9,$C39)</f>
        <v>10850</v>
      </c>
      <c r="M39" s="72" t="n">
        <f aca="false">INDEX(Routes!$F$6:$F$9,$C39)/L39</f>
        <v>0.0414746543778802</v>
      </c>
      <c r="N39" s="77" t="n">
        <f aca="false">2*L39*(1+SeaMargin)/(I39*24)</f>
        <v>70.3240740740741</v>
      </c>
      <c r="O39" s="84" t="n">
        <f aca="false">(I39/RefSpeed)^SpeedExp</f>
        <v>1</v>
      </c>
      <c r="P39" s="2" t="n">
        <f aca="false">IF(H39&gt;0,1,0)</f>
        <v>1</v>
      </c>
      <c r="Q39" s="71" t="n">
        <f aca="false">N39/2*O39*(ConsLaden+IF(P39=1,ConsLaden,ConsBallast))</f>
        <v>1898.75</v>
      </c>
      <c r="R39" s="71" t="n">
        <f aca="false">Q39*(1-M39)</f>
        <v>1820</v>
      </c>
      <c r="S39" s="71" t="n">
        <f aca="false">Q39*M39</f>
        <v>78.75</v>
      </c>
      <c r="T39" s="2" t="n">
        <f aca="false">1+P39</f>
        <v>2</v>
      </c>
      <c r="U39" s="77" t="n">
        <f aca="false">INDEX(Routes!$L$6:$L$9,$C39)*T39*F39</f>
        <v>7</v>
      </c>
      <c r="V39" s="77" t="n">
        <f aca="false">INDEX(Routes!$M$6:$M$9,$C39)*T39*F39</f>
        <v>8</v>
      </c>
      <c r="W39" s="77" t="n">
        <f aca="false">INDEX(Routes!$H$6:$H$9,$C39)*2</f>
        <v>0</v>
      </c>
      <c r="X39" s="71" t="n">
        <f aca="false">(U39+V39+W39)*ConsPort</f>
        <v>90</v>
      </c>
      <c r="Y39" s="67" t="n">
        <f aca="false">R39*D39*VLSFO_Mult+(S39+X39)*D39*MGO_Mult</f>
        <v>1283528.25875</v>
      </c>
      <c r="Z39" s="67" t="n">
        <f aca="false">(INDEX(Routes!$N$6:$N$9,$C39)+AN39+MIN(AC39*INDEX(Routes!$T$6:$T$9,$C39),INDEX(Routes!$V$6:$V$9,$C39))+INDEX(Routes!$O$6:$O$9,$C39)+AO39+MIN(AC39*INDEX(Routes!$U$6:$U$9,$C39),INDEX(Routes!$W$6:$W$9,$C39))+IF(P39=1,INDEX(Routes!$N$6:$N$9,$C39)+AN39+MIN(AD39*INDEX(Routes!$T$6:$T$9,$C39),INDEX(Routes!$V$6:$V$9,$C39))+INDEX(Routes!$O$6:$O$9,$C39)+AO39+MIN(AD39*INDEX(Routes!$U$6:$U$9,$C39),INDEX(Routes!$W$6:$W$9,$C39)),0))*J39</f>
        <v>231562.2096</v>
      </c>
      <c r="AA39" s="67" t="n">
        <f aca="false">INDEX(Routes!$R$6:$R$9,$C39)+IF(P39=1,INDEX(Routes!$R$6:$R$9,$C39),INDEX(Routes!$S$6:$S$9,$C39))</f>
        <v>0</v>
      </c>
      <c r="AB39" s="67" t="n">
        <f aca="false">((R39*CO2_VLSFO+S39*CO2_MGO)*INDEX(Routes!$I$6:$I$9,$C39)+(U39*INDEX(Routes!$P$6:$P$9,$C39)+V39*INDEX(Routes!$Q$6:$Q$9,$C39))*ConsPort*CO2_MGO)*PhaseIn*K39*FX</f>
        <v>255306.830625</v>
      </c>
      <c r="AC39" s="71" t="n">
        <f aca="false">Capacity*G39</f>
        <v>30600</v>
      </c>
      <c r="AD39" s="71" t="n">
        <f aca="false">Capacity*H39</f>
        <v>18000</v>
      </c>
      <c r="AE39" s="82" t="n">
        <f aca="false">INDEX(Routes!$J$6:$J$9,$C39)*E39</f>
        <v>75</v>
      </c>
      <c r="AF39" s="82" t="n">
        <f aca="false">INDEX(Routes!$K$6:$K$9,$C39)*E39</f>
        <v>55</v>
      </c>
      <c r="AG39" s="67" t="n">
        <f aca="false">AC39*AE39+AD39*AF39</f>
        <v>3285000</v>
      </c>
      <c r="AH39" s="67" t="n">
        <f aca="false">AG39*Commission</f>
        <v>82125</v>
      </c>
      <c r="AI39" s="67" t="n">
        <f aca="false">Y39+Z39+AA39+AB39+MiscVoy</f>
        <v>1795397.298975</v>
      </c>
      <c r="AJ39" s="77" t="n">
        <f aca="false">N39+U39+V39+W39</f>
        <v>85.3240740740741</v>
      </c>
      <c r="AK39" s="94" t="n">
        <f aca="false">(AG39-AH39-AI39)/AJ39</f>
        <v>16495.6692035486</v>
      </c>
      <c r="AL39" s="67" t="n">
        <f aca="false">AG39-AH39-AI39-Benchmark*AJ39</f>
        <v>-128355.632308333</v>
      </c>
      <c r="AM39" s="82" t="n">
        <f aca="false">IF(AC39&gt;0,((Benchmark*AJ39+AI39)/(1-Commission)-AD39*AF39)/AC39,0)</f>
        <v>79.3021830839059</v>
      </c>
      <c r="AN39" s="67" t="n">
        <f aca="false">LOA_ft*Port_Tariffs!$C$9*IF((INDEX(Routes!$L$6:$L$9,$C39)*INDEX(Routes!$X$6:$X$9,$C39)*F39)&lt;=2,(INDEX(Routes!$L$6:$L$9,$C39)*INDEX(Routes!$X$6:$X$9,$C39)*F39),IF((INDEX(Routes!$L$6:$L$9,$C39)*INDEX(Routes!$X$6:$X$9,$C39)*F39)&lt;=3,2+0.9*((INDEX(Routes!$L$6:$L$9,$C39)*INDEX(Routes!$X$6:$X$9,$C39)*F39)-2),IF((INDEX(Routes!$L$6:$L$9,$C39)*INDEX(Routes!$X$6:$X$9,$C39)*F39)&lt;=4,2.9+0.75*((INDEX(Routes!$L$6:$L$9,$C39)*INDEX(Routes!$X$6:$X$9,$C39)*F39)-3),IF((INDEX(Routes!$L$6:$L$9,$C39)*INDEX(Routes!$X$6:$X$9,$C39)*F39)&lt;=5,3.65+0.6*((INDEX(Routes!$L$6:$L$9,$C39)*INDEX(Routes!$X$6:$X$9,$C39)*F39)-4),4.25+0.5*((INDEX(Routes!$L$6:$L$9,$C39)*INDEX(Routes!$X$6:$X$9,$C39)*F39)-5)))))</f>
        <v>0</v>
      </c>
      <c r="AO39" s="67" t="n">
        <f aca="false">LOA_ft*Port_Tariffs!$C$9*IF((INDEX(Routes!$M$6:$M$9,$C39)*INDEX(Routes!$Y$6:$Y$9,$C39)*F39)&lt;=2,(INDEX(Routes!$M$6:$M$9,$C39)*INDEX(Routes!$Y$6:$Y$9,$C39)*F39),IF((INDEX(Routes!$M$6:$M$9,$C39)*INDEX(Routes!$Y$6:$Y$9,$C39)*F39)&lt;=3,2+0.9*((INDEX(Routes!$M$6:$M$9,$C39)*INDEX(Routes!$Y$6:$Y$9,$C39)*F39)-2),IF((INDEX(Routes!$M$6:$M$9,$C39)*INDEX(Routes!$Y$6:$Y$9,$C39)*F39)&lt;=4,2.9+0.75*((INDEX(Routes!$M$6:$M$9,$C39)*INDEX(Routes!$Y$6:$Y$9,$C39)*F39)-3),IF((INDEX(Routes!$M$6:$M$9,$C39)*INDEX(Routes!$Y$6:$Y$9,$C39)*F39)&lt;=5,3.65+0.6*((INDEX(Routes!$M$6:$M$9,$C39)*INDEX(Routes!$Y$6:$Y$9,$C39)*F39)-4),4.25+0.5*((INDEX(Routes!$M$6:$M$9,$C39)*INDEX(Routes!$Y$6:$Y$9,$C39)*F39)-5)))))</f>
        <v>0</v>
      </c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customFormat="false" ht="15" hidden="false" customHeight="false" outlineLevel="0" collapsed="false">
      <c r="A41" s="18" t="s">
        <v>534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customFormat="false" ht="15" hidden="false" customHeight="false" outlineLevel="0" collapsed="false">
      <c r="A42" s="2" t="s">
        <v>535</v>
      </c>
      <c r="B42" s="2" t="s">
        <v>536</v>
      </c>
      <c r="C42" s="16" t="n">
        <f aca="false">Sw_Route</f>
        <v>1</v>
      </c>
      <c r="D42" s="70" t="n">
        <v>50</v>
      </c>
      <c r="E42" s="88" t="n">
        <f aca="false">FreightMult</f>
        <v>1</v>
      </c>
      <c r="F42" s="92" t="n">
        <v>1</v>
      </c>
      <c r="G42" s="89" t="n">
        <f aca="false">UtilFH</f>
        <v>0.85</v>
      </c>
      <c r="H42" s="89" t="n">
        <f aca="false">UtilBH</f>
        <v>0.5</v>
      </c>
      <c r="I42" s="90" t="n">
        <f aca="false">Speed</f>
        <v>13.5</v>
      </c>
      <c r="J42" s="88" t="n">
        <f aca="false">PortCostMult</f>
        <v>1</v>
      </c>
      <c r="K42" s="90" t="n">
        <f aca="false">EUA</f>
        <v>75</v>
      </c>
      <c r="L42" s="71" t="n">
        <f aca="false">INDEX(Routes!$E$6:$E$9,$C42)</f>
        <v>5000</v>
      </c>
      <c r="M42" s="72" t="n">
        <f aca="false">INDEX(Routes!$F$6:$F$9,$C42)/L42</f>
        <v>0.13</v>
      </c>
      <c r="N42" s="77" t="n">
        <f aca="false">2*L42*(1+SeaMargin)/(I42*24)</f>
        <v>32.4074074074074</v>
      </c>
      <c r="O42" s="84" t="n">
        <f aca="false">(I42/RefSpeed)^SpeedExp</f>
        <v>1</v>
      </c>
      <c r="P42" s="2" t="n">
        <f aca="false">IF(H42&gt;0,1,0)</f>
        <v>1</v>
      </c>
      <c r="Q42" s="71" t="n">
        <f aca="false">N42/2*O42*(ConsLaden+IF(P42=1,ConsLaden,ConsBallast))</f>
        <v>875</v>
      </c>
      <c r="R42" s="71" t="n">
        <f aca="false">Q42*(1-M42)</f>
        <v>761.25</v>
      </c>
      <c r="S42" s="71" t="n">
        <f aca="false">Q42*M42</f>
        <v>113.75</v>
      </c>
      <c r="T42" s="2" t="n">
        <f aca="false">1+P42</f>
        <v>2</v>
      </c>
      <c r="U42" s="77" t="n">
        <f aca="false">INDEX(Routes!$L$6:$L$9,$C42)*T42*F42</f>
        <v>10</v>
      </c>
      <c r="V42" s="77" t="n">
        <f aca="false">INDEX(Routes!$M$6:$M$9,$C42)*T42*F42</f>
        <v>7</v>
      </c>
      <c r="W42" s="77" t="n">
        <f aca="false">INDEX(Routes!$H$6:$H$9,$C42)*2</f>
        <v>0</v>
      </c>
      <c r="X42" s="71" t="n">
        <f aca="false">(U42+V42+W42)*ConsPort</f>
        <v>102</v>
      </c>
      <c r="Y42" s="67" t="n">
        <f aca="false">R42*D42*VLSFO_Mult+(S42+X42)*D42*MGO_Mult</f>
        <v>397720</v>
      </c>
      <c r="Z42" s="67" t="n">
        <f aca="false">(INDEX(Routes!$N$6:$N$9,$C42)+AN42+MIN(AC42*INDEX(Routes!$T$6:$T$9,$C42),INDEX(Routes!$V$6:$V$9,$C42))+INDEX(Routes!$O$6:$O$9,$C42)+AO42+MIN(AC42*INDEX(Routes!$U$6:$U$9,$C42),INDEX(Routes!$W$6:$W$9,$C42))+IF(P42=1,INDEX(Routes!$N$6:$N$9,$C42)+AN42+MIN(AD42*INDEX(Routes!$T$6:$T$9,$C42),INDEX(Routes!$V$6:$V$9,$C42))+INDEX(Routes!$O$6:$O$9,$C42)+AO42+MIN(AD42*INDEX(Routes!$U$6:$U$9,$C42),INDEX(Routes!$W$6:$W$9,$C42)),0))*J42</f>
        <v>252304.2096</v>
      </c>
      <c r="AA42" s="67" t="n">
        <f aca="false">INDEX(Routes!$R$6:$R$9,$C42)+IF(P42=1,INDEX(Routes!$R$6:$R$9,$C42),INDEX(Routes!$S$6:$S$9,$C42))</f>
        <v>0</v>
      </c>
      <c r="AB42" s="67" t="n">
        <f aca="false">((R42*CO2_VLSFO+S42*CO2_MGO)*INDEX(Routes!$I$6:$I$9,$C42)+(U42*INDEX(Routes!$P$6:$P$9,$C42)+V42*INDEX(Routes!$Q$6:$Q$9,$C42))*ConsPort*CO2_MGO)*PhaseIn*K42*FX</f>
        <v>123936.40875</v>
      </c>
      <c r="AC42" s="71" t="n">
        <f aca="false">Capacity*G42</f>
        <v>30600</v>
      </c>
      <c r="AD42" s="71" t="n">
        <f aca="false">Capacity*H42</f>
        <v>18000</v>
      </c>
      <c r="AE42" s="82" t="n">
        <f aca="false">INDEX(Routes!$J$6:$J$9,$C42)*E42</f>
        <v>52</v>
      </c>
      <c r="AF42" s="82" t="n">
        <f aca="false">INDEX(Routes!$K$6:$K$9,$C42)*E42</f>
        <v>38</v>
      </c>
      <c r="AG42" s="67" t="n">
        <f aca="false">AC42*AE42+AD42*AF42</f>
        <v>2275200</v>
      </c>
      <c r="AH42" s="67" t="n">
        <f aca="false">AG42*Commission</f>
        <v>56880</v>
      </c>
      <c r="AI42" s="67" t="n">
        <f aca="false">Y42+Z42+AA42+AB42+MiscVoy</f>
        <v>798960.61835</v>
      </c>
      <c r="AJ42" s="77" t="n">
        <f aca="false">N42+U42+V42+W42</f>
        <v>49.4074074074074</v>
      </c>
      <c r="AK42" s="94" t="n">
        <f aca="false">(AG42-AH42-AI42)/AJ42</f>
        <v>28727.6636465892</v>
      </c>
      <c r="AL42" s="67" t="n">
        <f aca="false">AG42-AH42-AI42-Benchmark*AJ42</f>
        <v>530026.048316667</v>
      </c>
      <c r="AM42" s="82" t="n">
        <f aca="false">IF(AC42&gt;0,((Benchmark*AJ42+AI42)/(1-Commission)-AD42*AF42)/AC42,0)</f>
        <v>34.2347562152952</v>
      </c>
      <c r="AN42" s="67" t="n">
        <f aca="false">LOA_ft*Port_Tariffs!$C$9*IF((INDEX(Routes!$L$6:$L$9,$C42)*INDEX(Routes!$X$6:$X$9,$C42)*F42)&lt;=2,(INDEX(Routes!$L$6:$L$9,$C42)*INDEX(Routes!$X$6:$X$9,$C42)*F42),IF((INDEX(Routes!$L$6:$L$9,$C42)*INDEX(Routes!$X$6:$X$9,$C42)*F42)&lt;=3,2+0.9*((INDEX(Routes!$L$6:$L$9,$C42)*INDEX(Routes!$X$6:$X$9,$C42)*F42)-2),IF((INDEX(Routes!$L$6:$L$9,$C42)*INDEX(Routes!$X$6:$X$9,$C42)*F42)&lt;=4,2.9+0.75*((INDEX(Routes!$L$6:$L$9,$C42)*INDEX(Routes!$X$6:$X$9,$C42)*F42)-3),IF((INDEX(Routes!$L$6:$L$9,$C42)*INDEX(Routes!$X$6:$X$9,$C42)*F42)&lt;=5,3.65+0.6*((INDEX(Routes!$L$6:$L$9,$C42)*INDEX(Routes!$X$6:$X$9,$C42)*F42)-4),4.25+0.5*((INDEX(Routes!$L$6:$L$9,$C42)*INDEX(Routes!$X$6:$X$9,$C42)*F42)-5)))))</f>
        <v>19557.6</v>
      </c>
      <c r="AO42" s="67" t="n">
        <f aca="false">LOA_ft*Port_Tariffs!$C$9*IF((INDEX(Routes!$M$6:$M$9,$C42)*INDEX(Routes!$Y$6:$Y$9,$C42)*F42)&lt;=2,(INDEX(Routes!$M$6:$M$9,$C42)*INDEX(Routes!$Y$6:$Y$9,$C42)*F42),IF((INDEX(Routes!$M$6:$M$9,$C42)*INDEX(Routes!$Y$6:$Y$9,$C42)*F42)&lt;=3,2+0.9*((INDEX(Routes!$M$6:$M$9,$C42)*INDEX(Routes!$Y$6:$Y$9,$C42)*F42)-2),IF((INDEX(Routes!$M$6:$M$9,$C42)*INDEX(Routes!$Y$6:$Y$9,$C42)*F42)&lt;=4,2.9+0.75*((INDEX(Routes!$M$6:$M$9,$C42)*INDEX(Routes!$Y$6:$Y$9,$C42)*F42)-3),IF((INDEX(Routes!$M$6:$M$9,$C42)*INDEX(Routes!$Y$6:$Y$9,$C42)*F42)&lt;=5,3.65+0.6*((INDEX(Routes!$M$6:$M$9,$C42)*INDEX(Routes!$Y$6:$Y$9,$C42)*F42)-4),4.25+0.5*((INDEX(Routes!$M$6:$M$9,$C42)*INDEX(Routes!$Y$6:$Y$9,$C42)*F42)-5)))))</f>
        <v>0</v>
      </c>
    </row>
    <row r="43" customFormat="false" ht="15" hidden="false" customHeight="false" outlineLevel="0" collapsed="false">
      <c r="A43" s="2" t="s">
        <v>537</v>
      </c>
      <c r="B43" s="2" t="s">
        <v>536</v>
      </c>
      <c r="C43" s="16" t="n">
        <f aca="false">Sw_Route</f>
        <v>1</v>
      </c>
      <c r="D43" s="70" t="n">
        <v>60</v>
      </c>
      <c r="E43" s="88" t="n">
        <f aca="false">FreightMult</f>
        <v>1</v>
      </c>
      <c r="F43" s="92" t="n">
        <v>1</v>
      </c>
      <c r="G43" s="89" t="n">
        <f aca="false">UtilFH</f>
        <v>0.85</v>
      </c>
      <c r="H43" s="89" t="n">
        <f aca="false">UtilBH</f>
        <v>0.5</v>
      </c>
      <c r="I43" s="90" t="n">
        <f aca="false">Speed</f>
        <v>13.5</v>
      </c>
      <c r="J43" s="88" t="n">
        <f aca="false">PortCostMult</f>
        <v>1</v>
      </c>
      <c r="K43" s="90" t="n">
        <f aca="false">EUA</f>
        <v>75</v>
      </c>
      <c r="L43" s="71" t="n">
        <f aca="false">INDEX(Routes!$E$6:$E$9,$C43)</f>
        <v>5000</v>
      </c>
      <c r="M43" s="72" t="n">
        <f aca="false">INDEX(Routes!$F$6:$F$9,$C43)/L43</f>
        <v>0.13</v>
      </c>
      <c r="N43" s="77" t="n">
        <f aca="false">2*L43*(1+SeaMargin)/(I43*24)</f>
        <v>32.4074074074074</v>
      </c>
      <c r="O43" s="84" t="n">
        <f aca="false">(I43/RefSpeed)^SpeedExp</f>
        <v>1</v>
      </c>
      <c r="P43" s="2" t="n">
        <f aca="false">IF(H43&gt;0,1,0)</f>
        <v>1</v>
      </c>
      <c r="Q43" s="71" t="n">
        <f aca="false">N43/2*O43*(ConsLaden+IF(P43=1,ConsLaden,ConsBallast))</f>
        <v>875</v>
      </c>
      <c r="R43" s="71" t="n">
        <f aca="false">Q43*(1-M43)</f>
        <v>761.25</v>
      </c>
      <c r="S43" s="71" t="n">
        <f aca="false">Q43*M43</f>
        <v>113.75</v>
      </c>
      <c r="T43" s="2" t="n">
        <f aca="false">1+P43</f>
        <v>2</v>
      </c>
      <c r="U43" s="77" t="n">
        <f aca="false">INDEX(Routes!$L$6:$L$9,$C43)*T43*F43</f>
        <v>10</v>
      </c>
      <c r="V43" s="77" t="n">
        <f aca="false">INDEX(Routes!$M$6:$M$9,$C43)*T43*F43</f>
        <v>7</v>
      </c>
      <c r="W43" s="77" t="n">
        <f aca="false">INDEX(Routes!$H$6:$H$9,$C43)*2</f>
        <v>0</v>
      </c>
      <c r="X43" s="71" t="n">
        <f aca="false">(U43+V43+W43)*ConsPort</f>
        <v>102</v>
      </c>
      <c r="Y43" s="67" t="n">
        <f aca="false">R43*D43*VLSFO_Mult+(S43+X43)*D43*MGO_Mult</f>
        <v>477264</v>
      </c>
      <c r="Z43" s="67" t="n">
        <f aca="false">(INDEX(Routes!$N$6:$N$9,$C43)+AN43+MIN(AC43*INDEX(Routes!$T$6:$T$9,$C43),INDEX(Routes!$V$6:$V$9,$C43))+INDEX(Routes!$O$6:$O$9,$C43)+AO43+MIN(AC43*INDEX(Routes!$U$6:$U$9,$C43),INDEX(Routes!$W$6:$W$9,$C43))+IF(P43=1,INDEX(Routes!$N$6:$N$9,$C43)+AN43+MIN(AD43*INDEX(Routes!$T$6:$T$9,$C43),INDEX(Routes!$V$6:$V$9,$C43))+INDEX(Routes!$O$6:$O$9,$C43)+AO43+MIN(AD43*INDEX(Routes!$U$6:$U$9,$C43),INDEX(Routes!$W$6:$W$9,$C43)),0))*J43</f>
        <v>252304.2096</v>
      </c>
      <c r="AA43" s="67" t="n">
        <f aca="false">INDEX(Routes!$R$6:$R$9,$C43)+IF(P43=1,INDEX(Routes!$R$6:$R$9,$C43),INDEX(Routes!$S$6:$S$9,$C43))</f>
        <v>0</v>
      </c>
      <c r="AB43" s="67" t="n">
        <f aca="false">((R43*CO2_VLSFO+S43*CO2_MGO)*INDEX(Routes!$I$6:$I$9,$C43)+(U43*INDEX(Routes!$P$6:$P$9,$C43)+V43*INDEX(Routes!$Q$6:$Q$9,$C43))*ConsPort*CO2_MGO)*PhaseIn*K43*FX</f>
        <v>123936.40875</v>
      </c>
      <c r="AC43" s="71" t="n">
        <f aca="false">Capacity*G43</f>
        <v>30600</v>
      </c>
      <c r="AD43" s="71" t="n">
        <f aca="false">Capacity*H43</f>
        <v>18000</v>
      </c>
      <c r="AE43" s="82" t="n">
        <f aca="false">INDEX(Routes!$J$6:$J$9,$C43)*E43</f>
        <v>52</v>
      </c>
      <c r="AF43" s="82" t="n">
        <f aca="false">INDEX(Routes!$K$6:$K$9,$C43)*E43</f>
        <v>38</v>
      </c>
      <c r="AG43" s="67" t="n">
        <f aca="false">AC43*AE43+AD43*AF43</f>
        <v>2275200</v>
      </c>
      <c r="AH43" s="67" t="n">
        <f aca="false">AG43*Commission</f>
        <v>56880</v>
      </c>
      <c r="AI43" s="67" t="n">
        <f aca="false">Y43+Z43+AA43+AB43+MiscVoy</f>
        <v>878504.61835</v>
      </c>
      <c r="AJ43" s="77" t="n">
        <f aca="false">N43+U43+V43+W43</f>
        <v>49.4074074074074</v>
      </c>
      <c r="AK43" s="94" t="n">
        <f aca="false">(AG43-AH43-AI43)/AJ43</f>
        <v>27117.702627099</v>
      </c>
      <c r="AL43" s="67" t="n">
        <f aca="false">AG43-AH43-AI43-Benchmark*AJ43</f>
        <v>450482.048316667</v>
      </c>
      <c r="AM43" s="82" t="n">
        <f aca="false">IF(AC43&gt;0,((Benchmark*AJ43+AI43)/(1-Commission)-AD43*AF43)/AC43,0)</f>
        <v>36.9008865990727</v>
      </c>
      <c r="AN43" s="67" t="n">
        <f aca="false">LOA_ft*Port_Tariffs!$C$9*IF((INDEX(Routes!$L$6:$L$9,$C43)*INDEX(Routes!$X$6:$X$9,$C43)*F43)&lt;=2,(INDEX(Routes!$L$6:$L$9,$C43)*INDEX(Routes!$X$6:$X$9,$C43)*F43),IF((INDEX(Routes!$L$6:$L$9,$C43)*INDEX(Routes!$X$6:$X$9,$C43)*F43)&lt;=3,2+0.9*((INDEX(Routes!$L$6:$L$9,$C43)*INDEX(Routes!$X$6:$X$9,$C43)*F43)-2),IF((INDEX(Routes!$L$6:$L$9,$C43)*INDEX(Routes!$X$6:$X$9,$C43)*F43)&lt;=4,2.9+0.75*((INDEX(Routes!$L$6:$L$9,$C43)*INDEX(Routes!$X$6:$X$9,$C43)*F43)-3),IF((INDEX(Routes!$L$6:$L$9,$C43)*INDEX(Routes!$X$6:$X$9,$C43)*F43)&lt;=5,3.65+0.6*((INDEX(Routes!$L$6:$L$9,$C43)*INDEX(Routes!$X$6:$X$9,$C43)*F43)-4),4.25+0.5*((INDEX(Routes!$L$6:$L$9,$C43)*INDEX(Routes!$X$6:$X$9,$C43)*F43)-5)))))</f>
        <v>19557.6</v>
      </c>
      <c r="AO43" s="67" t="n">
        <f aca="false">LOA_ft*Port_Tariffs!$C$9*IF((INDEX(Routes!$M$6:$M$9,$C43)*INDEX(Routes!$Y$6:$Y$9,$C43)*F43)&lt;=2,(INDEX(Routes!$M$6:$M$9,$C43)*INDEX(Routes!$Y$6:$Y$9,$C43)*F43),IF((INDEX(Routes!$M$6:$M$9,$C43)*INDEX(Routes!$Y$6:$Y$9,$C43)*F43)&lt;=3,2+0.9*((INDEX(Routes!$M$6:$M$9,$C43)*INDEX(Routes!$Y$6:$Y$9,$C43)*F43)-2),IF((INDEX(Routes!$M$6:$M$9,$C43)*INDEX(Routes!$Y$6:$Y$9,$C43)*F43)&lt;=4,2.9+0.75*((INDEX(Routes!$M$6:$M$9,$C43)*INDEX(Routes!$Y$6:$Y$9,$C43)*F43)-3),IF((INDEX(Routes!$M$6:$M$9,$C43)*INDEX(Routes!$Y$6:$Y$9,$C43)*F43)&lt;=5,3.65+0.6*((INDEX(Routes!$M$6:$M$9,$C43)*INDEX(Routes!$Y$6:$Y$9,$C43)*F43)-4),4.25+0.5*((INDEX(Routes!$M$6:$M$9,$C43)*INDEX(Routes!$Y$6:$Y$9,$C43)*F43)-5)))))</f>
        <v>0</v>
      </c>
    </row>
    <row r="44" customFormat="false" ht="15" hidden="false" customHeight="false" outlineLevel="0" collapsed="false">
      <c r="A44" s="2" t="s">
        <v>538</v>
      </c>
      <c r="B44" s="2" t="s">
        <v>536</v>
      </c>
      <c r="C44" s="16" t="n">
        <f aca="false">Sw_Route</f>
        <v>1</v>
      </c>
      <c r="D44" s="70" t="n">
        <v>70</v>
      </c>
      <c r="E44" s="88" t="n">
        <f aca="false">FreightMult</f>
        <v>1</v>
      </c>
      <c r="F44" s="92" t="n">
        <v>1</v>
      </c>
      <c r="G44" s="89" t="n">
        <f aca="false">UtilFH</f>
        <v>0.85</v>
      </c>
      <c r="H44" s="89" t="n">
        <f aca="false">UtilBH</f>
        <v>0.5</v>
      </c>
      <c r="I44" s="90" t="n">
        <f aca="false">Speed</f>
        <v>13.5</v>
      </c>
      <c r="J44" s="88" t="n">
        <f aca="false">PortCostMult</f>
        <v>1</v>
      </c>
      <c r="K44" s="90" t="n">
        <f aca="false">EUA</f>
        <v>75</v>
      </c>
      <c r="L44" s="71" t="n">
        <f aca="false">INDEX(Routes!$E$6:$E$9,$C44)</f>
        <v>5000</v>
      </c>
      <c r="M44" s="72" t="n">
        <f aca="false">INDEX(Routes!$F$6:$F$9,$C44)/L44</f>
        <v>0.13</v>
      </c>
      <c r="N44" s="77" t="n">
        <f aca="false">2*L44*(1+SeaMargin)/(I44*24)</f>
        <v>32.4074074074074</v>
      </c>
      <c r="O44" s="84" t="n">
        <f aca="false">(I44/RefSpeed)^SpeedExp</f>
        <v>1</v>
      </c>
      <c r="P44" s="2" t="n">
        <f aca="false">IF(H44&gt;0,1,0)</f>
        <v>1</v>
      </c>
      <c r="Q44" s="71" t="n">
        <f aca="false">N44/2*O44*(ConsLaden+IF(P44=1,ConsLaden,ConsBallast))</f>
        <v>875</v>
      </c>
      <c r="R44" s="71" t="n">
        <f aca="false">Q44*(1-M44)</f>
        <v>761.25</v>
      </c>
      <c r="S44" s="71" t="n">
        <f aca="false">Q44*M44</f>
        <v>113.75</v>
      </c>
      <c r="T44" s="2" t="n">
        <f aca="false">1+P44</f>
        <v>2</v>
      </c>
      <c r="U44" s="77" t="n">
        <f aca="false">INDEX(Routes!$L$6:$L$9,$C44)*T44*F44</f>
        <v>10</v>
      </c>
      <c r="V44" s="77" t="n">
        <f aca="false">INDEX(Routes!$M$6:$M$9,$C44)*T44*F44</f>
        <v>7</v>
      </c>
      <c r="W44" s="77" t="n">
        <f aca="false">INDEX(Routes!$H$6:$H$9,$C44)*2</f>
        <v>0</v>
      </c>
      <c r="X44" s="71" t="n">
        <f aca="false">(U44+V44+W44)*ConsPort</f>
        <v>102</v>
      </c>
      <c r="Y44" s="67" t="n">
        <f aca="false">R44*D44*VLSFO_Mult+(S44+X44)*D44*MGO_Mult</f>
        <v>556808</v>
      </c>
      <c r="Z44" s="67" t="n">
        <f aca="false">(INDEX(Routes!$N$6:$N$9,$C44)+AN44+MIN(AC44*INDEX(Routes!$T$6:$T$9,$C44),INDEX(Routes!$V$6:$V$9,$C44))+INDEX(Routes!$O$6:$O$9,$C44)+AO44+MIN(AC44*INDEX(Routes!$U$6:$U$9,$C44),INDEX(Routes!$W$6:$W$9,$C44))+IF(P44=1,INDEX(Routes!$N$6:$N$9,$C44)+AN44+MIN(AD44*INDEX(Routes!$T$6:$T$9,$C44),INDEX(Routes!$V$6:$V$9,$C44))+INDEX(Routes!$O$6:$O$9,$C44)+AO44+MIN(AD44*INDEX(Routes!$U$6:$U$9,$C44),INDEX(Routes!$W$6:$W$9,$C44)),0))*J44</f>
        <v>252304.2096</v>
      </c>
      <c r="AA44" s="67" t="n">
        <f aca="false">INDEX(Routes!$R$6:$R$9,$C44)+IF(P44=1,INDEX(Routes!$R$6:$R$9,$C44),INDEX(Routes!$S$6:$S$9,$C44))</f>
        <v>0</v>
      </c>
      <c r="AB44" s="67" t="n">
        <f aca="false">((R44*CO2_VLSFO+S44*CO2_MGO)*INDEX(Routes!$I$6:$I$9,$C44)+(U44*INDEX(Routes!$P$6:$P$9,$C44)+V44*INDEX(Routes!$Q$6:$Q$9,$C44))*ConsPort*CO2_MGO)*PhaseIn*K44*FX</f>
        <v>123936.40875</v>
      </c>
      <c r="AC44" s="71" t="n">
        <f aca="false">Capacity*G44</f>
        <v>30600</v>
      </c>
      <c r="AD44" s="71" t="n">
        <f aca="false">Capacity*H44</f>
        <v>18000</v>
      </c>
      <c r="AE44" s="82" t="n">
        <f aca="false">INDEX(Routes!$J$6:$J$9,$C44)*E44</f>
        <v>52</v>
      </c>
      <c r="AF44" s="82" t="n">
        <f aca="false">INDEX(Routes!$K$6:$K$9,$C44)*E44</f>
        <v>38</v>
      </c>
      <c r="AG44" s="67" t="n">
        <f aca="false">AC44*AE44+AD44*AF44</f>
        <v>2275200</v>
      </c>
      <c r="AH44" s="67" t="n">
        <f aca="false">AG44*Commission</f>
        <v>56880</v>
      </c>
      <c r="AI44" s="67" t="n">
        <f aca="false">Y44+Z44+AA44+AB44+MiscVoy</f>
        <v>958048.61835</v>
      </c>
      <c r="AJ44" s="77" t="n">
        <f aca="false">N44+U44+V44+W44</f>
        <v>49.4074074074074</v>
      </c>
      <c r="AK44" s="94" t="n">
        <f aca="false">(AG44-AH44-AI44)/AJ44</f>
        <v>25507.7416076087</v>
      </c>
      <c r="AL44" s="67" t="n">
        <f aca="false">AG44-AH44-AI44-Benchmark*AJ44</f>
        <v>370938.048316667</v>
      </c>
      <c r="AM44" s="82" t="n">
        <f aca="false">IF(AC44&gt;0,((Benchmark*AJ44+AI44)/(1-Commission)-AD44*AF44)/AC44,0)</f>
        <v>39.5670169828501</v>
      </c>
      <c r="AN44" s="67" t="n">
        <f aca="false">LOA_ft*Port_Tariffs!$C$9*IF((INDEX(Routes!$L$6:$L$9,$C44)*INDEX(Routes!$X$6:$X$9,$C44)*F44)&lt;=2,(INDEX(Routes!$L$6:$L$9,$C44)*INDEX(Routes!$X$6:$X$9,$C44)*F44),IF((INDEX(Routes!$L$6:$L$9,$C44)*INDEX(Routes!$X$6:$X$9,$C44)*F44)&lt;=3,2+0.9*((INDEX(Routes!$L$6:$L$9,$C44)*INDEX(Routes!$X$6:$X$9,$C44)*F44)-2),IF((INDEX(Routes!$L$6:$L$9,$C44)*INDEX(Routes!$X$6:$X$9,$C44)*F44)&lt;=4,2.9+0.75*((INDEX(Routes!$L$6:$L$9,$C44)*INDEX(Routes!$X$6:$X$9,$C44)*F44)-3),IF((INDEX(Routes!$L$6:$L$9,$C44)*INDEX(Routes!$X$6:$X$9,$C44)*F44)&lt;=5,3.65+0.6*((INDEX(Routes!$L$6:$L$9,$C44)*INDEX(Routes!$X$6:$X$9,$C44)*F44)-4),4.25+0.5*((INDEX(Routes!$L$6:$L$9,$C44)*INDEX(Routes!$X$6:$X$9,$C44)*F44)-5)))))</f>
        <v>19557.6</v>
      </c>
      <c r="AO44" s="67" t="n">
        <f aca="false">LOA_ft*Port_Tariffs!$C$9*IF((INDEX(Routes!$M$6:$M$9,$C44)*INDEX(Routes!$Y$6:$Y$9,$C44)*F44)&lt;=2,(INDEX(Routes!$M$6:$M$9,$C44)*INDEX(Routes!$Y$6:$Y$9,$C44)*F44),IF((INDEX(Routes!$M$6:$M$9,$C44)*INDEX(Routes!$Y$6:$Y$9,$C44)*F44)&lt;=3,2+0.9*((INDEX(Routes!$M$6:$M$9,$C44)*INDEX(Routes!$Y$6:$Y$9,$C44)*F44)-2),IF((INDEX(Routes!$M$6:$M$9,$C44)*INDEX(Routes!$Y$6:$Y$9,$C44)*F44)&lt;=4,2.9+0.75*((INDEX(Routes!$M$6:$M$9,$C44)*INDEX(Routes!$Y$6:$Y$9,$C44)*F44)-3),IF((INDEX(Routes!$M$6:$M$9,$C44)*INDEX(Routes!$Y$6:$Y$9,$C44)*F44)&lt;=5,3.65+0.6*((INDEX(Routes!$M$6:$M$9,$C44)*INDEX(Routes!$Y$6:$Y$9,$C44)*F44)-4),4.25+0.5*((INDEX(Routes!$M$6:$M$9,$C44)*INDEX(Routes!$Y$6:$Y$9,$C44)*F44)-5)))))</f>
        <v>0</v>
      </c>
    </row>
    <row r="45" customFormat="false" ht="15" hidden="false" customHeight="false" outlineLevel="0" collapsed="false">
      <c r="A45" s="2" t="s">
        <v>539</v>
      </c>
      <c r="B45" s="2" t="s">
        <v>536</v>
      </c>
      <c r="C45" s="16" t="n">
        <f aca="false">Sw_Route</f>
        <v>1</v>
      </c>
      <c r="D45" s="70" t="n">
        <v>80</v>
      </c>
      <c r="E45" s="88" t="n">
        <f aca="false">FreightMult</f>
        <v>1</v>
      </c>
      <c r="F45" s="92" t="n">
        <v>1</v>
      </c>
      <c r="G45" s="89" t="n">
        <f aca="false">UtilFH</f>
        <v>0.85</v>
      </c>
      <c r="H45" s="89" t="n">
        <f aca="false">UtilBH</f>
        <v>0.5</v>
      </c>
      <c r="I45" s="90" t="n">
        <f aca="false">Speed</f>
        <v>13.5</v>
      </c>
      <c r="J45" s="88" t="n">
        <f aca="false">PortCostMult</f>
        <v>1</v>
      </c>
      <c r="K45" s="90" t="n">
        <f aca="false">EUA</f>
        <v>75</v>
      </c>
      <c r="L45" s="71" t="n">
        <f aca="false">INDEX(Routes!$E$6:$E$9,$C45)</f>
        <v>5000</v>
      </c>
      <c r="M45" s="72" t="n">
        <f aca="false">INDEX(Routes!$F$6:$F$9,$C45)/L45</f>
        <v>0.13</v>
      </c>
      <c r="N45" s="77" t="n">
        <f aca="false">2*L45*(1+SeaMargin)/(I45*24)</f>
        <v>32.4074074074074</v>
      </c>
      <c r="O45" s="84" t="n">
        <f aca="false">(I45/RefSpeed)^SpeedExp</f>
        <v>1</v>
      </c>
      <c r="P45" s="2" t="n">
        <f aca="false">IF(H45&gt;0,1,0)</f>
        <v>1</v>
      </c>
      <c r="Q45" s="71" t="n">
        <f aca="false">N45/2*O45*(ConsLaden+IF(P45=1,ConsLaden,ConsBallast))</f>
        <v>875</v>
      </c>
      <c r="R45" s="71" t="n">
        <f aca="false">Q45*(1-M45)</f>
        <v>761.25</v>
      </c>
      <c r="S45" s="71" t="n">
        <f aca="false">Q45*M45</f>
        <v>113.75</v>
      </c>
      <c r="T45" s="2" t="n">
        <f aca="false">1+P45</f>
        <v>2</v>
      </c>
      <c r="U45" s="77" t="n">
        <f aca="false">INDEX(Routes!$L$6:$L$9,$C45)*T45*F45</f>
        <v>10</v>
      </c>
      <c r="V45" s="77" t="n">
        <f aca="false">INDEX(Routes!$M$6:$M$9,$C45)*T45*F45</f>
        <v>7</v>
      </c>
      <c r="W45" s="77" t="n">
        <f aca="false">INDEX(Routes!$H$6:$H$9,$C45)*2</f>
        <v>0</v>
      </c>
      <c r="X45" s="71" t="n">
        <f aca="false">(U45+V45+W45)*ConsPort</f>
        <v>102</v>
      </c>
      <c r="Y45" s="67" t="n">
        <f aca="false">R45*D45*VLSFO_Mult+(S45+X45)*D45*MGO_Mult</f>
        <v>636352</v>
      </c>
      <c r="Z45" s="67" t="n">
        <f aca="false">(INDEX(Routes!$N$6:$N$9,$C45)+AN45+MIN(AC45*INDEX(Routes!$T$6:$T$9,$C45),INDEX(Routes!$V$6:$V$9,$C45))+INDEX(Routes!$O$6:$O$9,$C45)+AO45+MIN(AC45*INDEX(Routes!$U$6:$U$9,$C45),INDEX(Routes!$W$6:$W$9,$C45))+IF(P45=1,INDEX(Routes!$N$6:$N$9,$C45)+AN45+MIN(AD45*INDEX(Routes!$T$6:$T$9,$C45),INDEX(Routes!$V$6:$V$9,$C45))+INDEX(Routes!$O$6:$O$9,$C45)+AO45+MIN(AD45*INDEX(Routes!$U$6:$U$9,$C45),INDEX(Routes!$W$6:$W$9,$C45)),0))*J45</f>
        <v>252304.2096</v>
      </c>
      <c r="AA45" s="67" t="n">
        <f aca="false">INDEX(Routes!$R$6:$R$9,$C45)+IF(P45=1,INDEX(Routes!$R$6:$R$9,$C45),INDEX(Routes!$S$6:$S$9,$C45))</f>
        <v>0</v>
      </c>
      <c r="AB45" s="67" t="n">
        <f aca="false">((R45*CO2_VLSFO+S45*CO2_MGO)*INDEX(Routes!$I$6:$I$9,$C45)+(U45*INDEX(Routes!$P$6:$P$9,$C45)+V45*INDEX(Routes!$Q$6:$Q$9,$C45))*ConsPort*CO2_MGO)*PhaseIn*K45*FX</f>
        <v>123936.40875</v>
      </c>
      <c r="AC45" s="71" t="n">
        <f aca="false">Capacity*G45</f>
        <v>30600</v>
      </c>
      <c r="AD45" s="71" t="n">
        <f aca="false">Capacity*H45</f>
        <v>18000</v>
      </c>
      <c r="AE45" s="82" t="n">
        <f aca="false">INDEX(Routes!$J$6:$J$9,$C45)*E45</f>
        <v>52</v>
      </c>
      <c r="AF45" s="82" t="n">
        <f aca="false">INDEX(Routes!$K$6:$K$9,$C45)*E45</f>
        <v>38</v>
      </c>
      <c r="AG45" s="67" t="n">
        <f aca="false">AC45*AE45+AD45*AF45</f>
        <v>2275200</v>
      </c>
      <c r="AH45" s="67" t="n">
        <f aca="false">AG45*Commission</f>
        <v>56880</v>
      </c>
      <c r="AI45" s="67" t="n">
        <f aca="false">Y45+Z45+AA45+AB45+MiscVoy</f>
        <v>1037592.61835</v>
      </c>
      <c r="AJ45" s="77" t="n">
        <f aca="false">N45+U45+V45+W45</f>
        <v>49.4074074074074</v>
      </c>
      <c r="AK45" s="94" t="n">
        <f aca="false">(AG45-AH45-AI45)/AJ45</f>
        <v>23897.7805881184</v>
      </c>
      <c r="AL45" s="67" t="n">
        <f aca="false">AG45-AH45-AI45-Benchmark*AJ45</f>
        <v>291394.048316667</v>
      </c>
      <c r="AM45" s="82" t="n">
        <f aca="false">IF(AC45&gt;0,((Benchmark*AJ45+AI45)/(1-Commission)-AD45*AF45)/AC45,0)</f>
        <v>42.2331473666276</v>
      </c>
      <c r="AN45" s="67" t="n">
        <f aca="false">LOA_ft*Port_Tariffs!$C$9*IF((INDEX(Routes!$L$6:$L$9,$C45)*INDEX(Routes!$X$6:$X$9,$C45)*F45)&lt;=2,(INDEX(Routes!$L$6:$L$9,$C45)*INDEX(Routes!$X$6:$X$9,$C45)*F45),IF((INDEX(Routes!$L$6:$L$9,$C45)*INDEX(Routes!$X$6:$X$9,$C45)*F45)&lt;=3,2+0.9*((INDEX(Routes!$L$6:$L$9,$C45)*INDEX(Routes!$X$6:$X$9,$C45)*F45)-2),IF((INDEX(Routes!$L$6:$L$9,$C45)*INDEX(Routes!$X$6:$X$9,$C45)*F45)&lt;=4,2.9+0.75*((INDEX(Routes!$L$6:$L$9,$C45)*INDEX(Routes!$X$6:$X$9,$C45)*F45)-3),IF((INDEX(Routes!$L$6:$L$9,$C45)*INDEX(Routes!$X$6:$X$9,$C45)*F45)&lt;=5,3.65+0.6*((INDEX(Routes!$L$6:$L$9,$C45)*INDEX(Routes!$X$6:$X$9,$C45)*F45)-4),4.25+0.5*((INDEX(Routes!$L$6:$L$9,$C45)*INDEX(Routes!$X$6:$X$9,$C45)*F45)-5)))))</f>
        <v>19557.6</v>
      </c>
      <c r="AO45" s="67" t="n">
        <f aca="false">LOA_ft*Port_Tariffs!$C$9*IF((INDEX(Routes!$M$6:$M$9,$C45)*INDEX(Routes!$Y$6:$Y$9,$C45)*F45)&lt;=2,(INDEX(Routes!$M$6:$M$9,$C45)*INDEX(Routes!$Y$6:$Y$9,$C45)*F45),IF((INDEX(Routes!$M$6:$M$9,$C45)*INDEX(Routes!$Y$6:$Y$9,$C45)*F45)&lt;=3,2+0.9*((INDEX(Routes!$M$6:$M$9,$C45)*INDEX(Routes!$Y$6:$Y$9,$C45)*F45)-2),IF((INDEX(Routes!$M$6:$M$9,$C45)*INDEX(Routes!$Y$6:$Y$9,$C45)*F45)&lt;=4,2.9+0.75*((INDEX(Routes!$M$6:$M$9,$C45)*INDEX(Routes!$Y$6:$Y$9,$C45)*F45)-3),IF((INDEX(Routes!$M$6:$M$9,$C45)*INDEX(Routes!$Y$6:$Y$9,$C45)*F45)&lt;=5,3.65+0.6*((INDEX(Routes!$M$6:$M$9,$C45)*INDEX(Routes!$Y$6:$Y$9,$C45)*F45)-4),4.25+0.5*((INDEX(Routes!$M$6:$M$9,$C45)*INDEX(Routes!$Y$6:$Y$9,$C45)*F45)-5)))))</f>
        <v>0</v>
      </c>
    </row>
    <row r="46" customFormat="false" ht="15" hidden="false" customHeight="false" outlineLevel="0" collapsed="false">
      <c r="A46" s="2" t="s">
        <v>540</v>
      </c>
      <c r="B46" s="2" t="s">
        <v>536</v>
      </c>
      <c r="C46" s="16" t="n">
        <f aca="false">Sw_Route</f>
        <v>1</v>
      </c>
      <c r="D46" s="70" t="n">
        <v>90</v>
      </c>
      <c r="E46" s="88" t="n">
        <f aca="false">FreightMult</f>
        <v>1</v>
      </c>
      <c r="F46" s="92" t="n">
        <v>1</v>
      </c>
      <c r="G46" s="89" t="n">
        <f aca="false">UtilFH</f>
        <v>0.85</v>
      </c>
      <c r="H46" s="89" t="n">
        <f aca="false">UtilBH</f>
        <v>0.5</v>
      </c>
      <c r="I46" s="90" t="n">
        <f aca="false">Speed</f>
        <v>13.5</v>
      </c>
      <c r="J46" s="88" t="n">
        <f aca="false">PortCostMult</f>
        <v>1</v>
      </c>
      <c r="K46" s="90" t="n">
        <f aca="false">EUA</f>
        <v>75</v>
      </c>
      <c r="L46" s="71" t="n">
        <f aca="false">INDEX(Routes!$E$6:$E$9,$C46)</f>
        <v>5000</v>
      </c>
      <c r="M46" s="72" t="n">
        <f aca="false">INDEX(Routes!$F$6:$F$9,$C46)/L46</f>
        <v>0.13</v>
      </c>
      <c r="N46" s="77" t="n">
        <f aca="false">2*L46*(1+SeaMargin)/(I46*24)</f>
        <v>32.4074074074074</v>
      </c>
      <c r="O46" s="84" t="n">
        <f aca="false">(I46/RefSpeed)^SpeedExp</f>
        <v>1</v>
      </c>
      <c r="P46" s="2" t="n">
        <f aca="false">IF(H46&gt;0,1,0)</f>
        <v>1</v>
      </c>
      <c r="Q46" s="71" t="n">
        <f aca="false">N46/2*O46*(ConsLaden+IF(P46=1,ConsLaden,ConsBallast))</f>
        <v>875</v>
      </c>
      <c r="R46" s="71" t="n">
        <f aca="false">Q46*(1-M46)</f>
        <v>761.25</v>
      </c>
      <c r="S46" s="71" t="n">
        <f aca="false">Q46*M46</f>
        <v>113.75</v>
      </c>
      <c r="T46" s="2" t="n">
        <f aca="false">1+P46</f>
        <v>2</v>
      </c>
      <c r="U46" s="77" t="n">
        <f aca="false">INDEX(Routes!$L$6:$L$9,$C46)*T46*F46</f>
        <v>10</v>
      </c>
      <c r="V46" s="77" t="n">
        <f aca="false">INDEX(Routes!$M$6:$M$9,$C46)*T46*F46</f>
        <v>7</v>
      </c>
      <c r="W46" s="77" t="n">
        <f aca="false">INDEX(Routes!$H$6:$H$9,$C46)*2</f>
        <v>0</v>
      </c>
      <c r="X46" s="71" t="n">
        <f aca="false">(U46+V46+W46)*ConsPort</f>
        <v>102</v>
      </c>
      <c r="Y46" s="67" t="n">
        <f aca="false">R46*D46*VLSFO_Mult+(S46+X46)*D46*MGO_Mult</f>
        <v>715896</v>
      </c>
      <c r="Z46" s="67" t="n">
        <f aca="false">(INDEX(Routes!$N$6:$N$9,$C46)+AN46+MIN(AC46*INDEX(Routes!$T$6:$T$9,$C46),INDEX(Routes!$V$6:$V$9,$C46))+INDEX(Routes!$O$6:$O$9,$C46)+AO46+MIN(AC46*INDEX(Routes!$U$6:$U$9,$C46),INDEX(Routes!$W$6:$W$9,$C46))+IF(P46=1,INDEX(Routes!$N$6:$N$9,$C46)+AN46+MIN(AD46*INDEX(Routes!$T$6:$T$9,$C46),INDEX(Routes!$V$6:$V$9,$C46))+INDEX(Routes!$O$6:$O$9,$C46)+AO46+MIN(AD46*INDEX(Routes!$U$6:$U$9,$C46),INDEX(Routes!$W$6:$W$9,$C46)),0))*J46</f>
        <v>252304.2096</v>
      </c>
      <c r="AA46" s="67" t="n">
        <f aca="false">INDEX(Routes!$R$6:$R$9,$C46)+IF(P46=1,INDEX(Routes!$R$6:$R$9,$C46),INDEX(Routes!$S$6:$S$9,$C46))</f>
        <v>0</v>
      </c>
      <c r="AB46" s="67" t="n">
        <f aca="false">((R46*CO2_VLSFO+S46*CO2_MGO)*INDEX(Routes!$I$6:$I$9,$C46)+(U46*INDEX(Routes!$P$6:$P$9,$C46)+V46*INDEX(Routes!$Q$6:$Q$9,$C46))*ConsPort*CO2_MGO)*PhaseIn*K46*FX</f>
        <v>123936.40875</v>
      </c>
      <c r="AC46" s="71" t="n">
        <f aca="false">Capacity*G46</f>
        <v>30600</v>
      </c>
      <c r="AD46" s="71" t="n">
        <f aca="false">Capacity*H46</f>
        <v>18000</v>
      </c>
      <c r="AE46" s="82" t="n">
        <f aca="false">INDEX(Routes!$J$6:$J$9,$C46)*E46</f>
        <v>52</v>
      </c>
      <c r="AF46" s="82" t="n">
        <f aca="false">INDEX(Routes!$K$6:$K$9,$C46)*E46</f>
        <v>38</v>
      </c>
      <c r="AG46" s="67" t="n">
        <f aca="false">AC46*AE46+AD46*AF46</f>
        <v>2275200</v>
      </c>
      <c r="AH46" s="67" t="n">
        <f aca="false">AG46*Commission</f>
        <v>56880</v>
      </c>
      <c r="AI46" s="67" t="n">
        <f aca="false">Y46+Z46+AA46+AB46+MiscVoy</f>
        <v>1117136.61835</v>
      </c>
      <c r="AJ46" s="77" t="n">
        <f aca="false">N46+U46+V46+W46</f>
        <v>49.4074074074074</v>
      </c>
      <c r="AK46" s="94" t="n">
        <f aca="false">(AG46-AH46-AI46)/AJ46</f>
        <v>22287.8195686282</v>
      </c>
      <c r="AL46" s="67" t="n">
        <f aca="false">AG46-AH46-AI46-Benchmark*AJ46</f>
        <v>211850.048316667</v>
      </c>
      <c r="AM46" s="82" t="n">
        <f aca="false">IF(AC46&gt;0,((Benchmark*AJ46+AI46)/(1-Commission)-AD46*AF46)/AC46,0)</f>
        <v>44.899277750405</v>
      </c>
      <c r="AN46" s="67" t="n">
        <f aca="false">LOA_ft*Port_Tariffs!$C$9*IF((INDEX(Routes!$L$6:$L$9,$C46)*INDEX(Routes!$X$6:$X$9,$C46)*F46)&lt;=2,(INDEX(Routes!$L$6:$L$9,$C46)*INDEX(Routes!$X$6:$X$9,$C46)*F46),IF((INDEX(Routes!$L$6:$L$9,$C46)*INDEX(Routes!$X$6:$X$9,$C46)*F46)&lt;=3,2+0.9*((INDEX(Routes!$L$6:$L$9,$C46)*INDEX(Routes!$X$6:$X$9,$C46)*F46)-2),IF((INDEX(Routes!$L$6:$L$9,$C46)*INDEX(Routes!$X$6:$X$9,$C46)*F46)&lt;=4,2.9+0.75*((INDEX(Routes!$L$6:$L$9,$C46)*INDEX(Routes!$X$6:$X$9,$C46)*F46)-3),IF((INDEX(Routes!$L$6:$L$9,$C46)*INDEX(Routes!$X$6:$X$9,$C46)*F46)&lt;=5,3.65+0.6*((INDEX(Routes!$L$6:$L$9,$C46)*INDEX(Routes!$X$6:$X$9,$C46)*F46)-4),4.25+0.5*((INDEX(Routes!$L$6:$L$9,$C46)*INDEX(Routes!$X$6:$X$9,$C46)*F46)-5)))))</f>
        <v>19557.6</v>
      </c>
      <c r="AO46" s="67" t="n">
        <f aca="false">LOA_ft*Port_Tariffs!$C$9*IF((INDEX(Routes!$M$6:$M$9,$C46)*INDEX(Routes!$Y$6:$Y$9,$C46)*F46)&lt;=2,(INDEX(Routes!$M$6:$M$9,$C46)*INDEX(Routes!$Y$6:$Y$9,$C46)*F46),IF((INDEX(Routes!$M$6:$M$9,$C46)*INDEX(Routes!$Y$6:$Y$9,$C46)*F46)&lt;=3,2+0.9*((INDEX(Routes!$M$6:$M$9,$C46)*INDEX(Routes!$Y$6:$Y$9,$C46)*F46)-2),IF((INDEX(Routes!$M$6:$M$9,$C46)*INDEX(Routes!$Y$6:$Y$9,$C46)*F46)&lt;=4,2.9+0.75*((INDEX(Routes!$M$6:$M$9,$C46)*INDEX(Routes!$Y$6:$Y$9,$C46)*F46)-3),IF((INDEX(Routes!$M$6:$M$9,$C46)*INDEX(Routes!$Y$6:$Y$9,$C46)*F46)&lt;=5,3.65+0.6*((INDEX(Routes!$M$6:$M$9,$C46)*INDEX(Routes!$Y$6:$Y$9,$C46)*F46)-4),4.25+0.5*((INDEX(Routes!$M$6:$M$9,$C46)*INDEX(Routes!$Y$6:$Y$9,$C46)*F46)-5)))))</f>
        <v>0</v>
      </c>
    </row>
    <row r="47" customFormat="false" ht="15" hidden="false" customHeight="false" outlineLevel="0" collapsed="false">
      <c r="A47" s="2" t="s">
        <v>541</v>
      </c>
      <c r="B47" s="2" t="s">
        <v>536</v>
      </c>
      <c r="C47" s="16" t="n">
        <f aca="false">Sw_Route</f>
        <v>1</v>
      </c>
      <c r="D47" s="70" t="n">
        <v>100</v>
      </c>
      <c r="E47" s="88" t="n">
        <f aca="false">FreightMult</f>
        <v>1</v>
      </c>
      <c r="F47" s="92" t="n">
        <v>1</v>
      </c>
      <c r="G47" s="89" t="n">
        <f aca="false">UtilFH</f>
        <v>0.85</v>
      </c>
      <c r="H47" s="89" t="n">
        <f aca="false">UtilBH</f>
        <v>0.5</v>
      </c>
      <c r="I47" s="90" t="n">
        <f aca="false">Speed</f>
        <v>13.5</v>
      </c>
      <c r="J47" s="88" t="n">
        <f aca="false">PortCostMult</f>
        <v>1</v>
      </c>
      <c r="K47" s="90" t="n">
        <f aca="false">EUA</f>
        <v>75</v>
      </c>
      <c r="L47" s="71" t="n">
        <f aca="false">INDEX(Routes!$E$6:$E$9,$C47)</f>
        <v>5000</v>
      </c>
      <c r="M47" s="72" t="n">
        <f aca="false">INDEX(Routes!$F$6:$F$9,$C47)/L47</f>
        <v>0.13</v>
      </c>
      <c r="N47" s="77" t="n">
        <f aca="false">2*L47*(1+SeaMargin)/(I47*24)</f>
        <v>32.4074074074074</v>
      </c>
      <c r="O47" s="84" t="n">
        <f aca="false">(I47/RefSpeed)^SpeedExp</f>
        <v>1</v>
      </c>
      <c r="P47" s="2" t="n">
        <f aca="false">IF(H47&gt;0,1,0)</f>
        <v>1</v>
      </c>
      <c r="Q47" s="71" t="n">
        <f aca="false">N47/2*O47*(ConsLaden+IF(P47=1,ConsLaden,ConsBallast))</f>
        <v>875</v>
      </c>
      <c r="R47" s="71" t="n">
        <f aca="false">Q47*(1-M47)</f>
        <v>761.25</v>
      </c>
      <c r="S47" s="71" t="n">
        <f aca="false">Q47*M47</f>
        <v>113.75</v>
      </c>
      <c r="T47" s="2" t="n">
        <f aca="false">1+P47</f>
        <v>2</v>
      </c>
      <c r="U47" s="77" t="n">
        <f aca="false">INDEX(Routes!$L$6:$L$9,$C47)*T47*F47</f>
        <v>10</v>
      </c>
      <c r="V47" s="77" t="n">
        <f aca="false">INDEX(Routes!$M$6:$M$9,$C47)*T47*F47</f>
        <v>7</v>
      </c>
      <c r="W47" s="77" t="n">
        <f aca="false">INDEX(Routes!$H$6:$H$9,$C47)*2</f>
        <v>0</v>
      </c>
      <c r="X47" s="71" t="n">
        <f aca="false">(U47+V47+W47)*ConsPort</f>
        <v>102</v>
      </c>
      <c r="Y47" s="67" t="n">
        <f aca="false">R47*D47*VLSFO_Mult+(S47+X47)*D47*MGO_Mult</f>
        <v>795440</v>
      </c>
      <c r="Z47" s="67" t="n">
        <f aca="false">(INDEX(Routes!$N$6:$N$9,$C47)+AN47+MIN(AC47*INDEX(Routes!$T$6:$T$9,$C47),INDEX(Routes!$V$6:$V$9,$C47))+INDEX(Routes!$O$6:$O$9,$C47)+AO47+MIN(AC47*INDEX(Routes!$U$6:$U$9,$C47),INDEX(Routes!$W$6:$W$9,$C47))+IF(P47=1,INDEX(Routes!$N$6:$N$9,$C47)+AN47+MIN(AD47*INDEX(Routes!$T$6:$T$9,$C47),INDEX(Routes!$V$6:$V$9,$C47))+INDEX(Routes!$O$6:$O$9,$C47)+AO47+MIN(AD47*INDEX(Routes!$U$6:$U$9,$C47),INDEX(Routes!$W$6:$W$9,$C47)),0))*J47</f>
        <v>252304.2096</v>
      </c>
      <c r="AA47" s="67" t="n">
        <f aca="false">INDEX(Routes!$R$6:$R$9,$C47)+IF(P47=1,INDEX(Routes!$R$6:$R$9,$C47),INDEX(Routes!$S$6:$S$9,$C47))</f>
        <v>0</v>
      </c>
      <c r="AB47" s="67" t="n">
        <f aca="false">((R47*CO2_VLSFO+S47*CO2_MGO)*INDEX(Routes!$I$6:$I$9,$C47)+(U47*INDEX(Routes!$P$6:$P$9,$C47)+V47*INDEX(Routes!$Q$6:$Q$9,$C47))*ConsPort*CO2_MGO)*PhaseIn*K47*FX</f>
        <v>123936.40875</v>
      </c>
      <c r="AC47" s="71" t="n">
        <f aca="false">Capacity*G47</f>
        <v>30600</v>
      </c>
      <c r="AD47" s="71" t="n">
        <f aca="false">Capacity*H47</f>
        <v>18000</v>
      </c>
      <c r="AE47" s="82" t="n">
        <f aca="false">INDEX(Routes!$J$6:$J$9,$C47)*E47</f>
        <v>52</v>
      </c>
      <c r="AF47" s="82" t="n">
        <f aca="false">INDEX(Routes!$K$6:$K$9,$C47)*E47</f>
        <v>38</v>
      </c>
      <c r="AG47" s="67" t="n">
        <f aca="false">AC47*AE47+AD47*AF47</f>
        <v>2275200</v>
      </c>
      <c r="AH47" s="67" t="n">
        <f aca="false">AG47*Commission</f>
        <v>56880</v>
      </c>
      <c r="AI47" s="67" t="n">
        <f aca="false">Y47+Z47+AA47+AB47+MiscVoy</f>
        <v>1196680.61835</v>
      </c>
      <c r="AJ47" s="77" t="n">
        <f aca="false">N47+U47+V47+W47</f>
        <v>49.4074074074074</v>
      </c>
      <c r="AK47" s="94" t="n">
        <f aca="false">(AG47-AH47-AI47)/AJ47</f>
        <v>20677.8585491379</v>
      </c>
      <c r="AL47" s="67" t="n">
        <f aca="false">AG47-AH47-AI47-Benchmark*AJ47</f>
        <v>132306.048316667</v>
      </c>
      <c r="AM47" s="82" t="n">
        <f aca="false">IF(AC47&gt;0,((Benchmark*AJ47+AI47)/(1-Commission)-AD47*AF47)/AC47,0)</f>
        <v>47.5654081341824</v>
      </c>
      <c r="AN47" s="67" t="n">
        <f aca="false">LOA_ft*Port_Tariffs!$C$9*IF((INDEX(Routes!$L$6:$L$9,$C47)*INDEX(Routes!$X$6:$X$9,$C47)*F47)&lt;=2,(INDEX(Routes!$L$6:$L$9,$C47)*INDEX(Routes!$X$6:$X$9,$C47)*F47),IF((INDEX(Routes!$L$6:$L$9,$C47)*INDEX(Routes!$X$6:$X$9,$C47)*F47)&lt;=3,2+0.9*((INDEX(Routes!$L$6:$L$9,$C47)*INDEX(Routes!$X$6:$X$9,$C47)*F47)-2),IF((INDEX(Routes!$L$6:$L$9,$C47)*INDEX(Routes!$X$6:$X$9,$C47)*F47)&lt;=4,2.9+0.75*((INDEX(Routes!$L$6:$L$9,$C47)*INDEX(Routes!$X$6:$X$9,$C47)*F47)-3),IF((INDEX(Routes!$L$6:$L$9,$C47)*INDEX(Routes!$X$6:$X$9,$C47)*F47)&lt;=5,3.65+0.6*((INDEX(Routes!$L$6:$L$9,$C47)*INDEX(Routes!$X$6:$X$9,$C47)*F47)-4),4.25+0.5*((INDEX(Routes!$L$6:$L$9,$C47)*INDEX(Routes!$X$6:$X$9,$C47)*F47)-5)))))</f>
        <v>19557.6</v>
      </c>
      <c r="AO47" s="67" t="n">
        <f aca="false">LOA_ft*Port_Tariffs!$C$9*IF((INDEX(Routes!$M$6:$M$9,$C47)*INDEX(Routes!$Y$6:$Y$9,$C47)*F47)&lt;=2,(INDEX(Routes!$M$6:$M$9,$C47)*INDEX(Routes!$Y$6:$Y$9,$C47)*F47),IF((INDEX(Routes!$M$6:$M$9,$C47)*INDEX(Routes!$Y$6:$Y$9,$C47)*F47)&lt;=3,2+0.9*((INDEX(Routes!$M$6:$M$9,$C47)*INDEX(Routes!$Y$6:$Y$9,$C47)*F47)-2),IF((INDEX(Routes!$M$6:$M$9,$C47)*INDEX(Routes!$Y$6:$Y$9,$C47)*F47)&lt;=4,2.9+0.75*((INDEX(Routes!$M$6:$M$9,$C47)*INDEX(Routes!$Y$6:$Y$9,$C47)*F47)-3),IF((INDEX(Routes!$M$6:$M$9,$C47)*INDEX(Routes!$Y$6:$Y$9,$C47)*F47)&lt;=5,3.65+0.6*((INDEX(Routes!$M$6:$M$9,$C47)*INDEX(Routes!$Y$6:$Y$9,$C47)*F47)-4),4.25+0.5*((INDEX(Routes!$M$6:$M$9,$C47)*INDEX(Routes!$Y$6:$Y$9,$C47)*F47)-5)))))</f>
        <v>0</v>
      </c>
    </row>
    <row r="48" customFormat="false" ht="15" hidden="false" customHeight="false" outlineLevel="0" collapsed="false">
      <c r="A48" s="2" t="s">
        <v>542</v>
      </c>
      <c r="B48" s="2" t="s">
        <v>536</v>
      </c>
      <c r="C48" s="16" t="n">
        <f aca="false">Sw_Route</f>
        <v>1</v>
      </c>
      <c r="D48" s="70" t="n">
        <v>110</v>
      </c>
      <c r="E48" s="88" t="n">
        <f aca="false">FreightMult</f>
        <v>1</v>
      </c>
      <c r="F48" s="92" t="n">
        <v>1</v>
      </c>
      <c r="G48" s="89" t="n">
        <f aca="false">UtilFH</f>
        <v>0.85</v>
      </c>
      <c r="H48" s="89" t="n">
        <f aca="false">UtilBH</f>
        <v>0.5</v>
      </c>
      <c r="I48" s="90" t="n">
        <f aca="false">Speed</f>
        <v>13.5</v>
      </c>
      <c r="J48" s="88" t="n">
        <f aca="false">PortCostMult</f>
        <v>1</v>
      </c>
      <c r="K48" s="90" t="n">
        <f aca="false">EUA</f>
        <v>75</v>
      </c>
      <c r="L48" s="71" t="n">
        <f aca="false">INDEX(Routes!$E$6:$E$9,$C48)</f>
        <v>5000</v>
      </c>
      <c r="M48" s="72" t="n">
        <f aca="false">INDEX(Routes!$F$6:$F$9,$C48)/L48</f>
        <v>0.13</v>
      </c>
      <c r="N48" s="77" t="n">
        <f aca="false">2*L48*(1+SeaMargin)/(I48*24)</f>
        <v>32.4074074074074</v>
      </c>
      <c r="O48" s="84" t="n">
        <f aca="false">(I48/RefSpeed)^SpeedExp</f>
        <v>1</v>
      </c>
      <c r="P48" s="2" t="n">
        <f aca="false">IF(H48&gt;0,1,0)</f>
        <v>1</v>
      </c>
      <c r="Q48" s="71" t="n">
        <f aca="false">N48/2*O48*(ConsLaden+IF(P48=1,ConsLaden,ConsBallast))</f>
        <v>875</v>
      </c>
      <c r="R48" s="71" t="n">
        <f aca="false">Q48*(1-M48)</f>
        <v>761.25</v>
      </c>
      <c r="S48" s="71" t="n">
        <f aca="false">Q48*M48</f>
        <v>113.75</v>
      </c>
      <c r="T48" s="2" t="n">
        <f aca="false">1+P48</f>
        <v>2</v>
      </c>
      <c r="U48" s="77" t="n">
        <f aca="false">INDEX(Routes!$L$6:$L$9,$C48)*T48*F48</f>
        <v>10</v>
      </c>
      <c r="V48" s="77" t="n">
        <f aca="false">INDEX(Routes!$M$6:$M$9,$C48)*T48*F48</f>
        <v>7</v>
      </c>
      <c r="W48" s="77" t="n">
        <f aca="false">INDEX(Routes!$H$6:$H$9,$C48)*2</f>
        <v>0</v>
      </c>
      <c r="X48" s="71" t="n">
        <f aca="false">(U48+V48+W48)*ConsPort</f>
        <v>102</v>
      </c>
      <c r="Y48" s="67" t="n">
        <f aca="false">R48*D48*VLSFO_Mult+(S48+X48)*D48*MGO_Mult</f>
        <v>874984</v>
      </c>
      <c r="Z48" s="67" t="n">
        <f aca="false">(INDEX(Routes!$N$6:$N$9,$C48)+AN48+MIN(AC48*INDEX(Routes!$T$6:$T$9,$C48),INDEX(Routes!$V$6:$V$9,$C48))+INDEX(Routes!$O$6:$O$9,$C48)+AO48+MIN(AC48*INDEX(Routes!$U$6:$U$9,$C48),INDEX(Routes!$W$6:$W$9,$C48))+IF(P48=1,INDEX(Routes!$N$6:$N$9,$C48)+AN48+MIN(AD48*INDEX(Routes!$T$6:$T$9,$C48),INDEX(Routes!$V$6:$V$9,$C48))+INDEX(Routes!$O$6:$O$9,$C48)+AO48+MIN(AD48*INDEX(Routes!$U$6:$U$9,$C48),INDEX(Routes!$W$6:$W$9,$C48)),0))*J48</f>
        <v>252304.2096</v>
      </c>
      <c r="AA48" s="67" t="n">
        <f aca="false">INDEX(Routes!$R$6:$R$9,$C48)+IF(P48=1,INDEX(Routes!$R$6:$R$9,$C48),INDEX(Routes!$S$6:$S$9,$C48))</f>
        <v>0</v>
      </c>
      <c r="AB48" s="67" t="n">
        <f aca="false">((R48*CO2_VLSFO+S48*CO2_MGO)*INDEX(Routes!$I$6:$I$9,$C48)+(U48*INDEX(Routes!$P$6:$P$9,$C48)+V48*INDEX(Routes!$Q$6:$Q$9,$C48))*ConsPort*CO2_MGO)*PhaseIn*K48*FX</f>
        <v>123936.40875</v>
      </c>
      <c r="AC48" s="71" t="n">
        <f aca="false">Capacity*G48</f>
        <v>30600</v>
      </c>
      <c r="AD48" s="71" t="n">
        <f aca="false">Capacity*H48</f>
        <v>18000</v>
      </c>
      <c r="AE48" s="82" t="n">
        <f aca="false">INDEX(Routes!$J$6:$J$9,$C48)*E48</f>
        <v>52</v>
      </c>
      <c r="AF48" s="82" t="n">
        <f aca="false">INDEX(Routes!$K$6:$K$9,$C48)*E48</f>
        <v>38</v>
      </c>
      <c r="AG48" s="67" t="n">
        <f aca="false">AC48*AE48+AD48*AF48</f>
        <v>2275200</v>
      </c>
      <c r="AH48" s="67" t="n">
        <f aca="false">AG48*Commission</f>
        <v>56880</v>
      </c>
      <c r="AI48" s="67" t="n">
        <f aca="false">Y48+Z48+AA48+AB48+MiscVoy</f>
        <v>1276224.61835</v>
      </c>
      <c r="AJ48" s="77" t="n">
        <f aca="false">N48+U48+V48+W48</f>
        <v>49.4074074074074</v>
      </c>
      <c r="AK48" s="94" t="n">
        <f aca="false">(AG48-AH48-AI48)/AJ48</f>
        <v>19067.8975296477</v>
      </c>
      <c r="AL48" s="67" t="n">
        <f aca="false">AG48-AH48-AI48-Benchmark*AJ48</f>
        <v>52762.0483166669</v>
      </c>
      <c r="AM48" s="82" t="n">
        <f aca="false">IF(AC48&gt;0,((Benchmark*AJ48+AI48)/(1-Commission)-AD48*AF48)/AC48,0)</f>
        <v>50.2315385179599</v>
      </c>
      <c r="AN48" s="67" t="n">
        <f aca="false">LOA_ft*Port_Tariffs!$C$9*IF((INDEX(Routes!$L$6:$L$9,$C48)*INDEX(Routes!$X$6:$X$9,$C48)*F48)&lt;=2,(INDEX(Routes!$L$6:$L$9,$C48)*INDEX(Routes!$X$6:$X$9,$C48)*F48),IF((INDEX(Routes!$L$6:$L$9,$C48)*INDEX(Routes!$X$6:$X$9,$C48)*F48)&lt;=3,2+0.9*((INDEX(Routes!$L$6:$L$9,$C48)*INDEX(Routes!$X$6:$X$9,$C48)*F48)-2),IF((INDEX(Routes!$L$6:$L$9,$C48)*INDEX(Routes!$X$6:$X$9,$C48)*F48)&lt;=4,2.9+0.75*((INDEX(Routes!$L$6:$L$9,$C48)*INDEX(Routes!$X$6:$X$9,$C48)*F48)-3),IF((INDEX(Routes!$L$6:$L$9,$C48)*INDEX(Routes!$X$6:$X$9,$C48)*F48)&lt;=5,3.65+0.6*((INDEX(Routes!$L$6:$L$9,$C48)*INDEX(Routes!$X$6:$X$9,$C48)*F48)-4),4.25+0.5*((INDEX(Routes!$L$6:$L$9,$C48)*INDEX(Routes!$X$6:$X$9,$C48)*F48)-5)))))</f>
        <v>19557.6</v>
      </c>
      <c r="AO48" s="67" t="n">
        <f aca="false">LOA_ft*Port_Tariffs!$C$9*IF((INDEX(Routes!$M$6:$M$9,$C48)*INDEX(Routes!$Y$6:$Y$9,$C48)*F48)&lt;=2,(INDEX(Routes!$M$6:$M$9,$C48)*INDEX(Routes!$Y$6:$Y$9,$C48)*F48),IF((INDEX(Routes!$M$6:$M$9,$C48)*INDEX(Routes!$Y$6:$Y$9,$C48)*F48)&lt;=3,2+0.9*((INDEX(Routes!$M$6:$M$9,$C48)*INDEX(Routes!$Y$6:$Y$9,$C48)*F48)-2),IF((INDEX(Routes!$M$6:$M$9,$C48)*INDEX(Routes!$Y$6:$Y$9,$C48)*F48)&lt;=4,2.9+0.75*((INDEX(Routes!$M$6:$M$9,$C48)*INDEX(Routes!$Y$6:$Y$9,$C48)*F48)-3),IF((INDEX(Routes!$M$6:$M$9,$C48)*INDEX(Routes!$Y$6:$Y$9,$C48)*F48)&lt;=5,3.65+0.6*((INDEX(Routes!$M$6:$M$9,$C48)*INDEX(Routes!$Y$6:$Y$9,$C48)*F48)-4),4.25+0.5*((INDEX(Routes!$M$6:$M$9,$C48)*INDEX(Routes!$Y$6:$Y$9,$C48)*F48)-5)))))</f>
        <v>0</v>
      </c>
    </row>
    <row r="49" customFormat="false" ht="15" hidden="false" customHeight="false" outlineLevel="0" collapsed="false">
      <c r="A49" s="2" t="s">
        <v>543</v>
      </c>
      <c r="B49" s="2" t="s">
        <v>536</v>
      </c>
      <c r="C49" s="16" t="n">
        <f aca="false">Sw_Route</f>
        <v>1</v>
      </c>
      <c r="D49" s="70" t="n">
        <v>120</v>
      </c>
      <c r="E49" s="88" t="n">
        <f aca="false">FreightMult</f>
        <v>1</v>
      </c>
      <c r="F49" s="92" t="n">
        <v>1</v>
      </c>
      <c r="G49" s="89" t="n">
        <f aca="false">UtilFH</f>
        <v>0.85</v>
      </c>
      <c r="H49" s="89" t="n">
        <f aca="false">UtilBH</f>
        <v>0.5</v>
      </c>
      <c r="I49" s="90" t="n">
        <f aca="false">Speed</f>
        <v>13.5</v>
      </c>
      <c r="J49" s="88" t="n">
        <f aca="false">PortCostMult</f>
        <v>1</v>
      </c>
      <c r="K49" s="90" t="n">
        <f aca="false">EUA</f>
        <v>75</v>
      </c>
      <c r="L49" s="71" t="n">
        <f aca="false">INDEX(Routes!$E$6:$E$9,$C49)</f>
        <v>5000</v>
      </c>
      <c r="M49" s="72" t="n">
        <f aca="false">INDEX(Routes!$F$6:$F$9,$C49)/L49</f>
        <v>0.13</v>
      </c>
      <c r="N49" s="77" t="n">
        <f aca="false">2*L49*(1+SeaMargin)/(I49*24)</f>
        <v>32.4074074074074</v>
      </c>
      <c r="O49" s="84" t="n">
        <f aca="false">(I49/RefSpeed)^SpeedExp</f>
        <v>1</v>
      </c>
      <c r="P49" s="2" t="n">
        <f aca="false">IF(H49&gt;0,1,0)</f>
        <v>1</v>
      </c>
      <c r="Q49" s="71" t="n">
        <f aca="false">N49/2*O49*(ConsLaden+IF(P49=1,ConsLaden,ConsBallast))</f>
        <v>875</v>
      </c>
      <c r="R49" s="71" t="n">
        <f aca="false">Q49*(1-M49)</f>
        <v>761.25</v>
      </c>
      <c r="S49" s="71" t="n">
        <f aca="false">Q49*M49</f>
        <v>113.75</v>
      </c>
      <c r="T49" s="2" t="n">
        <f aca="false">1+P49</f>
        <v>2</v>
      </c>
      <c r="U49" s="77" t="n">
        <f aca="false">INDEX(Routes!$L$6:$L$9,$C49)*T49*F49</f>
        <v>10</v>
      </c>
      <c r="V49" s="77" t="n">
        <f aca="false">INDEX(Routes!$M$6:$M$9,$C49)*T49*F49</f>
        <v>7</v>
      </c>
      <c r="W49" s="77" t="n">
        <f aca="false">INDEX(Routes!$H$6:$H$9,$C49)*2</f>
        <v>0</v>
      </c>
      <c r="X49" s="71" t="n">
        <f aca="false">(U49+V49+W49)*ConsPort</f>
        <v>102</v>
      </c>
      <c r="Y49" s="67" t="n">
        <f aca="false">R49*D49*VLSFO_Mult+(S49+X49)*D49*MGO_Mult</f>
        <v>954528</v>
      </c>
      <c r="Z49" s="67" t="n">
        <f aca="false">(INDEX(Routes!$N$6:$N$9,$C49)+AN49+MIN(AC49*INDEX(Routes!$T$6:$T$9,$C49),INDEX(Routes!$V$6:$V$9,$C49))+INDEX(Routes!$O$6:$O$9,$C49)+AO49+MIN(AC49*INDEX(Routes!$U$6:$U$9,$C49),INDEX(Routes!$W$6:$W$9,$C49))+IF(P49=1,INDEX(Routes!$N$6:$N$9,$C49)+AN49+MIN(AD49*INDEX(Routes!$T$6:$T$9,$C49),INDEX(Routes!$V$6:$V$9,$C49))+INDEX(Routes!$O$6:$O$9,$C49)+AO49+MIN(AD49*INDEX(Routes!$U$6:$U$9,$C49),INDEX(Routes!$W$6:$W$9,$C49)),0))*J49</f>
        <v>252304.2096</v>
      </c>
      <c r="AA49" s="67" t="n">
        <f aca="false">INDEX(Routes!$R$6:$R$9,$C49)+IF(P49=1,INDEX(Routes!$R$6:$R$9,$C49),INDEX(Routes!$S$6:$S$9,$C49))</f>
        <v>0</v>
      </c>
      <c r="AB49" s="67" t="n">
        <f aca="false">((R49*CO2_VLSFO+S49*CO2_MGO)*INDEX(Routes!$I$6:$I$9,$C49)+(U49*INDEX(Routes!$P$6:$P$9,$C49)+V49*INDEX(Routes!$Q$6:$Q$9,$C49))*ConsPort*CO2_MGO)*PhaseIn*K49*FX</f>
        <v>123936.40875</v>
      </c>
      <c r="AC49" s="71" t="n">
        <f aca="false">Capacity*G49</f>
        <v>30600</v>
      </c>
      <c r="AD49" s="71" t="n">
        <f aca="false">Capacity*H49</f>
        <v>18000</v>
      </c>
      <c r="AE49" s="82" t="n">
        <f aca="false">INDEX(Routes!$J$6:$J$9,$C49)*E49</f>
        <v>52</v>
      </c>
      <c r="AF49" s="82" t="n">
        <f aca="false">INDEX(Routes!$K$6:$K$9,$C49)*E49</f>
        <v>38</v>
      </c>
      <c r="AG49" s="67" t="n">
        <f aca="false">AC49*AE49+AD49*AF49</f>
        <v>2275200</v>
      </c>
      <c r="AH49" s="67" t="n">
        <f aca="false">AG49*Commission</f>
        <v>56880</v>
      </c>
      <c r="AI49" s="67" t="n">
        <f aca="false">Y49+Z49+AA49+AB49+MiscVoy</f>
        <v>1355768.61835</v>
      </c>
      <c r="AJ49" s="77" t="n">
        <f aca="false">N49+U49+V49+W49</f>
        <v>49.4074074074074</v>
      </c>
      <c r="AK49" s="94" t="n">
        <f aca="false">(AG49-AH49-AI49)/AJ49</f>
        <v>17457.9365101574</v>
      </c>
      <c r="AL49" s="67" t="n">
        <f aca="false">AG49-AH49-AI49-Benchmark*AJ49</f>
        <v>-26781.9516833331</v>
      </c>
      <c r="AM49" s="82" t="n">
        <f aca="false">IF(AC49&gt;0,((Benchmark*AJ49+AI49)/(1-Commission)-AD49*AF49)/AC49,0)</f>
        <v>52.8976689017373</v>
      </c>
      <c r="AN49" s="67" t="n">
        <f aca="false">LOA_ft*Port_Tariffs!$C$9*IF((INDEX(Routes!$L$6:$L$9,$C49)*INDEX(Routes!$X$6:$X$9,$C49)*F49)&lt;=2,(INDEX(Routes!$L$6:$L$9,$C49)*INDEX(Routes!$X$6:$X$9,$C49)*F49),IF((INDEX(Routes!$L$6:$L$9,$C49)*INDEX(Routes!$X$6:$X$9,$C49)*F49)&lt;=3,2+0.9*((INDEX(Routes!$L$6:$L$9,$C49)*INDEX(Routes!$X$6:$X$9,$C49)*F49)-2),IF((INDEX(Routes!$L$6:$L$9,$C49)*INDEX(Routes!$X$6:$X$9,$C49)*F49)&lt;=4,2.9+0.75*((INDEX(Routes!$L$6:$L$9,$C49)*INDEX(Routes!$X$6:$X$9,$C49)*F49)-3),IF((INDEX(Routes!$L$6:$L$9,$C49)*INDEX(Routes!$X$6:$X$9,$C49)*F49)&lt;=5,3.65+0.6*((INDEX(Routes!$L$6:$L$9,$C49)*INDEX(Routes!$X$6:$X$9,$C49)*F49)-4),4.25+0.5*((INDEX(Routes!$L$6:$L$9,$C49)*INDEX(Routes!$X$6:$X$9,$C49)*F49)-5)))))</f>
        <v>19557.6</v>
      </c>
      <c r="AO49" s="67" t="n">
        <f aca="false">LOA_ft*Port_Tariffs!$C$9*IF((INDEX(Routes!$M$6:$M$9,$C49)*INDEX(Routes!$Y$6:$Y$9,$C49)*F49)&lt;=2,(INDEX(Routes!$M$6:$M$9,$C49)*INDEX(Routes!$Y$6:$Y$9,$C49)*F49),IF((INDEX(Routes!$M$6:$M$9,$C49)*INDEX(Routes!$Y$6:$Y$9,$C49)*F49)&lt;=3,2+0.9*((INDEX(Routes!$M$6:$M$9,$C49)*INDEX(Routes!$Y$6:$Y$9,$C49)*F49)-2),IF((INDEX(Routes!$M$6:$M$9,$C49)*INDEX(Routes!$Y$6:$Y$9,$C49)*F49)&lt;=4,2.9+0.75*((INDEX(Routes!$M$6:$M$9,$C49)*INDEX(Routes!$Y$6:$Y$9,$C49)*F49)-3),IF((INDEX(Routes!$M$6:$M$9,$C49)*INDEX(Routes!$Y$6:$Y$9,$C49)*F49)&lt;=5,3.65+0.6*((INDEX(Routes!$M$6:$M$9,$C49)*INDEX(Routes!$Y$6:$Y$9,$C49)*F49)-4),4.25+0.5*((INDEX(Routes!$M$6:$M$9,$C49)*INDEX(Routes!$Y$6:$Y$9,$C49)*F49)-5)))))</f>
        <v>0</v>
      </c>
    </row>
    <row r="50" customFormat="false" ht="15" hidden="false" customHeight="false" outlineLevel="0" collapsed="false">
      <c r="A50" s="2" t="s">
        <v>544</v>
      </c>
      <c r="B50" s="2" t="s">
        <v>536</v>
      </c>
      <c r="C50" s="16" t="n">
        <f aca="false">Sw_Route</f>
        <v>1</v>
      </c>
      <c r="D50" s="70" t="n">
        <v>130</v>
      </c>
      <c r="E50" s="88" t="n">
        <f aca="false">FreightMult</f>
        <v>1</v>
      </c>
      <c r="F50" s="92" t="n">
        <v>1</v>
      </c>
      <c r="G50" s="89" t="n">
        <f aca="false">UtilFH</f>
        <v>0.85</v>
      </c>
      <c r="H50" s="89" t="n">
        <f aca="false">UtilBH</f>
        <v>0.5</v>
      </c>
      <c r="I50" s="90" t="n">
        <f aca="false">Speed</f>
        <v>13.5</v>
      </c>
      <c r="J50" s="88" t="n">
        <f aca="false">PortCostMult</f>
        <v>1</v>
      </c>
      <c r="K50" s="90" t="n">
        <f aca="false">EUA</f>
        <v>75</v>
      </c>
      <c r="L50" s="71" t="n">
        <f aca="false">INDEX(Routes!$E$6:$E$9,$C50)</f>
        <v>5000</v>
      </c>
      <c r="M50" s="72" t="n">
        <f aca="false">INDEX(Routes!$F$6:$F$9,$C50)/L50</f>
        <v>0.13</v>
      </c>
      <c r="N50" s="77" t="n">
        <f aca="false">2*L50*(1+SeaMargin)/(I50*24)</f>
        <v>32.4074074074074</v>
      </c>
      <c r="O50" s="84" t="n">
        <f aca="false">(I50/RefSpeed)^SpeedExp</f>
        <v>1</v>
      </c>
      <c r="P50" s="2" t="n">
        <f aca="false">IF(H50&gt;0,1,0)</f>
        <v>1</v>
      </c>
      <c r="Q50" s="71" t="n">
        <f aca="false">N50/2*O50*(ConsLaden+IF(P50=1,ConsLaden,ConsBallast))</f>
        <v>875</v>
      </c>
      <c r="R50" s="71" t="n">
        <f aca="false">Q50*(1-M50)</f>
        <v>761.25</v>
      </c>
      <c r="S50" s="71" t="n">
        <f aca="false">Q50*M50</f>
        <v>113.75</v>
      </c>
      <c r="T50" s="2" t="n">
        <f aca="false">1+P50</f>
        <v>2</v>
      </c>
      <c r="U50" s="77" t="n">
        <f aca="false">INDEX(Routes!$L$6:$L$9,$C50)*T50*F50</f>
        <v>10</v>
      </c>
      <c r="V50" s="77" t="n">
        <f aca="false">INDEX(Routes!$M$6:$M$9,$C50)*T50*F50</f>
        <v>7</v>
      </c>
      <c r="W50" s="77" t="n">
        <f aca="false">INDEX(Routes!$H$6:$H$9,$C50)*2</f>
        <v>0</v>
      </c>
      <c r="X50" s="71" t="n">
        <f aca="false">(U50+V50+W50)*ConsPort</f>
        <v>102</v>
      </c>
      <c r="Y50" s="67" t="n">
        <f aca="false">R50*D50*VLSFO_Mult+(S50+X50)*D50*MGO_Mult</f>
        <v>1034072</v>
      </c>
      <c r="Z50" s="67" t="n">
        <f aca="false">(INDEX(Routes!$N$6:$N$9,$C50)+AN50+MIN(AC50*INDEX(Routes!$T$6:$T$9,$C50),INDEX(Routes!$V$6:$V$9,$C50))+INDEX(Routes!$O$6:$O$9,$C50)+AO50+MIN(AC50*INDEX(Routes!$U$6:$U$9,$C50),INDEX(Routes!$W$6:$W$9,$C50))+IF(P50=1,INDEX(Routes!$N$6:$N$9,$C50)+AN50+MIN(AD50*INDEX(Routes!$T$6:$T$9,$C50),INDEX(Routes!$V$6:$V$9,$C50))+INDEX(Routes!$O$6:$O$9,$C50)+AO50+MIN(AD50*INDEX(Routes!$U$6:$U$9,$C50),INDEX(Routes!$W$6:$W$9,$C50)),0))*J50</f>
        <v>252304.2096</v>
      </c>
      <c r="AA50" s="67" t="n">
        <f aca="false">INDEX(Routes!$R$6:$R$9,$C50)+IF(P50=1,INDEX(Routes!$R$6:$R$9,$C50),INDEX(Routes!$S$6:$S$9,$C50))</f>
        <v>0</v>
      </c>
      <c r="AB50" s="67" t="n">
        <f aca="false">((R50*CO2_VLSFO+S50*CO2_MGO)*INDEX(Routes!$I$6:$I$9,$C50)+(U50*INDEX(Routes!$P$6:$P$9,$C50)+V50*INDEX(Routes!$Q$6:$Q$9,$C50))*ConsPort*CO2_MGO)*PhaseIn*K50*FX</f>
        <v>123936.40875</v>
      </c>
      <c r="AC50" s="71" t="n">
        <f aca="false">Capacity*G50</f>
        <v>30600</v>
      </c>
      <c r="AD50" s="71" t="n">
        <f aca="false">Capacity*H50</f>
        <v>18000</v>
      </c>
      <c r="AE50" s="82" t="n">
        <f aca="false">INDEX(Routes!$J$6:$J$9,$C50)*E50</f>
        <v>52</v>
      </c>
      <c r="AF50" s="82" t="n">
        <f aca="false">INDEX(Routes!$K$6:$K$9,$C50)*E50</f>
        <v>38</v>
      </c>
      <c r="AG50" s="67" t="n">
        <f aca="false">AC50*AE50+AD50*AF50</f>
        <v>2275200</v>
      </c>
      <c r="AH50" s="67" t="n">
        <f aca="false">AG50*Commission</f>
        <v>56880</v>
      </c>
      <c r="AI50" s="67" t="n">
        <f aca="false">Y50+Z50+AA50+AB50+MiscVoy</f>
        <v>1435312.61835</v>
      </c>
      <c r="AJ50" s="77" t="n">
        <f aca="false">N50+U50+V50+W50</f>
        <v>49.4074074074074</v>
      </c>
      <c r="AK50" s="94" t="n">
        <f aca="false">(AG50-AH50-AI50)/AJ50</f>
        <v>15847.9754906672</v>
      </c>
      <c r="AL50" s="67" t="n">
        <f aca="false">AG50-AH50-AI50-Benchmark*AJ50</f>
        <v>-106325.951683333</v>
      </c>
      <c r="AM50" s="82" t="n">
        <f aca="false">IF(AC50&gt;0,((Benchmark*AJ50+AI50)/(1-Commission)-AD50*AF50)/AC50,0)</f>
        <v>55.5637992855148</v>
      </c>
      <c r="AN50" s="67" t="n">
        <f aca="false">LOA_ft*Port_Tariffs!$C$9*IF((INDEX(Routes!$L$6:$L$9,$C50)*INDEX(Routes!$X$6:$X$9,$C50)*F50)&lt;=2,(INDEX(Routes!$L$6:$L$9,$C50)*INDEX(Routes!$X$6:$X$9,$C50)*F50),IF((INDEX(Routes!$L$6:$L$9,$C50)*INDEX(Routes!$X$6:$X$9,$C50)*F50)&lt;=3,2+0.9*((INDEX(Routes!$L$6:$L$9,$C50)*INDEX(Routes!$X$6:$X$9,$C50)*F50)-2),IF((INDEX(Routes!$L$6:$L$9,$C50)*INDEX(Routes!$X$6:$X$9,$C50)*F50)&lt;=4,2.9+0.75*((INDEX(Routes!$L$6:$L$9,$C50)*INDEX(Routes!$X$6:$X$9,$C50)*F50)-3),IF((INDEX(Routes!$L$6:$L$9,$C50)*INDEX(Routes!$X$6:$X$9,$C50)*F50)&lt;=5,3.65+0.6*((INDEX(Routes!$L$6:$L$9,$C50)*INDEX(Routes!$X$6:$X$9,$C50)*F50)-4),4.25+0.5*((INDEX(Routes!$L$6:$L$9,$C50)*INDEX(Routes!$X$6:$X$9,$C50)*F50)-5)))))</f>
        <v>19557.6</v>
      </c>
      <c r="AO50" s="67" t="n">
        <f aca="false">LOA_ft*Port_Tariffs!$C$9*IF((INDEX(Routes!$M$6:$M$9,$C50)*INDEX(Routes!$Y$6:$Y$9,$C50)*F50)&lt;=2,(INDEX(Routes!$M$6:$M$9,$C50)*INDEX(Routes!$Y$6:$Y$9,$C50)*F50),IF((INDEX(Routes!$M$6:$M$9,$C50)*INDEX(Routes!$Y$6:$Y$9,$C50)*F50)&lt;=3,2+0.9*((INDEX(Routes!$M$6:$M$9,$C50)*INDEX(Routes!$Y$6:$Y$9,$C50)*F50)-2),IF((INDEX(Routes!$M$6:$M$9,$C50)*INDEX(Routes!$Y$6:$Y$9,$C50)*F50)&lt;=4,2.9+0.75*((INDEX(Routes!$M$6:$M$9,$C50)*INDEX(Routes!$Y$6:$Y$9,$C50)*F50)-3),IF((INDEX(Routes!$M$6:$M$9,$C50)*INDEX(Routes!$Y$6:$Y$9,$C50)*F50)&lt;=5,3.65+0.6*((INDEX(Routes!$M$6:$M$9,$C50)*INDEX(Routes!$Y$6:$Y$9,$C50)*F50)-4),4.25+0.5*((INDEX(Routes!$M$6:$M$9,$C50)*INDEX(Routes!$Y$6:$Y$9,$C50)*F50)-5)))))</f>
        <v>0</v>
      </c>
    </row>
    <row r="51" customFormat="false" ht="15" hidden="false" customHeight="false" outlineLevel="0" collapsed="false">
      <c r="A51" s="2" t="s">
        <v>545</v>
      </c>
      <c r="B51" s="2" t="s">
        <v>536</v>
      </c>
      <c r="C51" s="16" t="n">
        <f aca="false">Sw_Route</f>
        <v>1</v>
      </c>
      <c r="D51" s="70" t="n">
        <v>50</v>
      </c>
      <c r="E51" s="88" t="n">
        <f aca="false">FreightMult</f>
        <v>1</v>
      </c>
      <c r="F51" s="92" t="n">
        <v>1.5</v>
      </c>
      <c r="G51" s="89" t="n">
        <f aca="false">UtilFH</f>
        <v>0.85</v>
      </c>
      <c r="H51" s="89" t="n">
        <f aca="false">UtilBH</f>
        <v>0.5</v>
      </c>
      <c r="I51" s="90" t="n">
        <f aca="false">Speed</f>
        <v>13.5</v>
      </c>
      <c r="J51" s="88" t="n">
        <f aca="false">PortCostMult</f>
        <v>1</v>
      </c>
      <c r="K51" s="90" t="n">
        <f aca="false">EUA</f>
        <v>75</v>
      </c>
      <c r="L51" s="71" t="n">
        <f aca="false">INDEX(Routes!$E$6:$E$9,$C51)</f>
        <v>5000</v>
      </c>
      <c r="M51" s="72" t="n">
        <f aca="false">INDEX(Routes!$F$6:$F$9,$C51)/L51</f>
        <v>0.13</v>
      </c>
      <c r="N51" s="77" t="n">
        <f aca="false">2*L51*(1+SeaMargin)/(I51*24)</f>
        <v>32.4074074074074</v>
      </c>
      <c r="O51" s="84" t="n">
        <f aca="false">(I51/RefSpeed)^SpeedExp</f>
        <v>1</v>
      </c>
      <c r="P51" s="2" t="n">
        <f aca="false">IF(H51&gt;0,1,0)</f>
        <v>1</v>
      </c>
      <c r="Q51" s="71" t="n">
        <f aca="false">N51/2*O51*(ConsLaden+IF(P51=1,ConsLaden,ConsBallast))</f>
        <v>875</v>
      </c>
      <c r="R51" s="71" t="n">
        <f aca="false">Q51*(1-M51)</f>
        <v>761.25</v>
      </c>
      <c r="S51" s="71" t="n">
        <f aca="false">Q51*M51</f>
        <v>113.75</v>
      </c>
      <c r="T51" s="2" t="n">
        <f aca="false">1+P51</f>
        <v>2</v>
      </c>
      <c r="U51" s="77" t="n">
        <f aca="false">INDEX(Routes!$L$6:$L$9,$C51)*T51*F51</f>
        <v>15</v>
      </c>
      <c r="V51" s="77" t="n">
        <f aca="false">INDEX(Routes!$M$6:$M$9,$C51)*T51*F51</f>
        <v>10.5</v>
      </c>
      <c r="W51" s="77" t="n">
        <f aca="false">INDEX(Routes!$H$6:$H$9,$C51)*2</f>
        <v>0</v>
      </c>
      <c r="X51" s="71" t="n">
        <f aca="false">(U51+V51+W51)*ConsPort</f>
        <v>153</v>
      </c>
      <c r="Y51" s="67" t="n">
        <f aca="false">R51*D51*VLSFO_Mult+(S51+X51)*D51*MGO_Mult</f>
        <v>422455</v>
      </c>
      <c r="Z51" s="67" t="n">
        <f aca="false">(INDEX(Routes!$N$6:$N$9,$C51)+AN51+MIN(AC51*INDEX(Routes!$T$6:$T$9,$C51),INDEX(Routes!$V$6:$V$9,$C51))+INDEX(Routes!$O$6:$O$9,$C51)+AO51+MIN(AC51*INDEX(Routes!$U$6:$U$9,$C51),INDEX(Routes!$W$6:$W$9,$C51))+IF(P51=1,INDEX(Routes!$N$6:$N$9,$C51)+AN51+MIN(AD51*INDEX(Routes!$T$6:$T$9,$C51),INDEX(Routes!$V$6:$V$9,$C51))+INDEX(Routes!$O$6:$O$9,$C51)+AO51+MIN(AD51*INDEX(Routes!$U$6:$U$9,$C51),INDEX(Routes!$W$6:$W$9,$C51)),0))*J51</f>
        <v>266466.6096</v>
      </c>
      <c r="AA51" s="67" t="n">
        <f aca="false">INDEX(Routes!$R$6:$R$9,$C51)+IF(P51=1,INDEX(Routes!$R$6:$R$9,$C51),INDEX(Routes!$S$6:$S$9,$C51))</f>
        <v>0</v>
      </c>
      <c r="AB51" s="67" t="n">
        <f aca="false">((R51*CO2_VLSFO+S51*CO2_MGO)*INDEX(Routes!$I$6:$I$9,$C51)+(U51*INDEX(Routes!$P$6:$P$9,$C51)+V51*INDEX(Routes!$Q$6:$Q$9,$C51))*ConsPort*CO2_MGO)*PhaseIn*K51*FX</f>
        <v>129490.80375</v>
      </c>
      <c r="AC51" s="71" t="n">
        <f aca="false">Capacity*G51</f>
        <v>30600</v>
      </c>
      <c r="AD51" s="71" t="n">
        <f aca="false">Capacity*H51</f>
        <v>18000</v>
      </c>
      <c r="AE51" s="82" t="n">
        <f aca="false">INDEX(Routes!$J$6:$J$9,$C51)*E51</f>
        <v>52</v>
      </c>
      <c r="AF51" s="82" t="n">
        <f aca="false">INDEX(Routes!$K$6:$K$9,$C51)*E51</f>
        <v>38</v>
      </c>
      <c r="AG51" s="67" t="n">
        <f aca="false">AC51*AE51+AD51*AF51</f>
        <v>2275200</v>
      </c>
      <c r="AH51" s="67" t="n">
        <f aca="false">AG51*Commission</f>
        <v>56880</v>
      </c>
      <c r="AI51" s="67" t="n">
        <f aca="false">Y51+Z51+AA51+AB51+MiscVoy</f>
        <v>843412.41335</v>
      </c>
      <c r="AJ51" s="77" t="n">
        <f aca="false">N51+U51+V51+W51</f>
        <v>57.9074074074074</v>
      </c>
      <c r="AK51" s="94" t="n">
        <f aca="false">(AG51-AH51-AI51)/AJ51</f>
        <v>23743.2074445475</v>
      </c>
      <c r="AL51" s="67" t="n">
        <f aca="false">AG51-AH51-AI51-Benchmark*AJ51</f>
        <v>332574.253316667</v>
      </c>
      <c r="AM51" s="82" t="n">
        <f aca="false">IF(AC51&gt;0,((Benchmark*AJ51+AI51)/(1-Commission)-AD51*AF51)/AC51,0)</f>
        <v>40.8528824093626</v>
      </c>
      <c r="AN51" s="67" t="n">
        <f aca="false">LOA_ft*Port_Tariffs!$C$9*IF((INDEX(Routes!$L$6:$L$9,$C51)*INDEX(Routes!$X$6:$X$9,$C51)*F51)&lt;=2,(INDEX(Routes!$L$6:$L$9,$C51)*INDEX(Routes!$X$6:$X$9,$C51)*F51),IF((INDEX(Routes!$L$6:$L$9,$C51)*INDEX(Routes!$X$6:$X$9,$C51)*F51)&lt;=3,2+0.9*((INDEX(Routes!$L$6:$L$9,$C51)*INDEX(Routes!$X$6:$X$9,$C51)*F51)-2),IF((INDEX(Routes!$L$6:$L$9,$C51)*INDEX(Routes!$X$6:$X$9,$C51)*F51)&lt;=4,2.9+0.75*((INDEX(Routes!$L$6:$L$9,$C51)*INDEX(Routes!$X$6:$X$9,$C51)*F51)-3),IF((INDEX(Routes!$L$6:$L$9,$C51)*INDEX(Routes!$X$6:$X$9,$C51)*F51)&lt;=5,3.65+0.6*((INDEX(Routes!$L$6:$L$9,$C51)*INDEX(Routes!$X$6:$X$9,$C51)*F51)-4),4.25+0.5*((INDEX(Routes!$L$6:$L$9,$C51)*INDEX(Routes!$X$6:$X$9,$C51)*F51)-5)))))</f>
        <v>26638.8</v>
      </c>
      <c r="AO51" s="67" t="n">
        <f aca="false">LOA_ft*Port_Tariffs!$C$9*IF((INDEX(Routes!$M$6:$M$9,$C51)*INDEX(Routes!$Y$6:$Y$9,$C51)*F51)&lt;=2,(INDEX(Routes!$M$6:$M$9,$C51)*INDEX(Routes!$Y$6:$Y$9,$C51)*F51),IF((INDEX(Routes!$M$6:$M$9,$C51)*INDEX(Routes!$Y$6:$Y$9,$C51)*F51)&lt;=3,2+0.9*((INDEX(Routes!$M$6:$M$9,$C51)*INDEX(Routes!$Y$6:$Y$9,$C51)*F51)-2),IF((INDEX(Routes!$M$6:$M$9,$C51)*INDEX(Routes!$Y$6:$Y$9,$C51)*F51)&lt;=4,2.9+0.75*((INDEX(Routes!$M$6:$M$9,$C51)*INDEX(Routes!$Y$6:$Y$9,$C51)*F51)-3),IF((INDEX(Routes!$M$6:$M$9,$C51)*INDEX(Routes!$Y$6:$Y$9,$C51)*F51)&lt;=5,3.65+0.6*((INDEX(Routes!$M$6:$M$9,$C51)*INDEX(Routes!$Y$6:$Y$9,$C51)*F51)-4),4.25+0.5*((INDEX(Routes!$M$6:$M$9,$C51)*INDEX(Routes!$Y$6:$Y$9,$C51)*F51)-5)))))</f>
        <v>0</v>
      </c>
    </row>
    <row r="52" customFormat="false" ht="15" hidden="false" customHeight="false" outlineLevel="0" collapsed="false">
      <c r="A52" s="2" t="s">
        <v>546</v>
      </c>
      <c r="B52" s="2" t="s">
        <v>536</v>
      </c>
      <c r="C52" s="16" t="n">
        <f aca="false">Sw_Route</f>
        <v>1</v>
      </c>
      <c r="D52" s="70" t="n">
        <v>60</v>
      </c>
      <c r="E52" s="88" t="n">
        <f aca="false">FreightMult</f>
        <v>1</v>
      </c>
      <c r="F52" s="92" t="n">
        <v>1.5</v>
      </c>
      <c r="G52" s="89" t="n">
        <f aca="false">UtilFH</f>
        <v>0.85</v>
      </c>
      <c r="H52" s="89" t="n">
        <f aca="false">UtilBH</f>
        <v>0.5</v>
      </c>
      <c r="I52" s="90" t="n">
        <f aca="false">Speed</f>
        <v>13.5</v>
      </c>
      <c r="J52" s="88" t="n">
        <f aca="false">PortCostMult</f>
        <v>1</v>
      </c>
      <c r="K52" s="90" t="n">
        <f aca="false">EUA</f>
        <v>75</v>
      </c>
      <c r="L52" s="71" t="n">
        <f aca="false">INDEX(Routes!$E$6:$E$9,$C52)</f>
        <v>5000</v>
      </c>
      <c r="M52" s="72" t="n">
        <f aca="false">INDEX(Routes!$F$6:$F$9,$C52)/L52</f>
        <v>0.13</v>
      </c>
      <c r="N52" s="77" t="n">
        <f aca="false">2*L52*(1+SeaMargin)/(I52*24)</f>
        <v>32.4074074074074</v>
      </c>
      <c r="O52" s="84" t="n">
        <f aca="false">(I52/RefSpeed)^SpeedExp</f>
        <v>1</v>
      </c>
      <c r="P52" s="2" t="n">
        <f aca="false">IF(H52&gt;0,1,0)</f>
        <v>1</v>
      </c>
      <c r="Q52" s="71" t="n">
        <f aca="false">N52/2*O52*(ConsLaden+IF(P52=1,ConsLaden,ConsBallast))</f>
        <v>875</v>
      </c>
      <c r="R52" s="71" t="n">
        <f aca="false">Q52*(1-M52)</f>
        <v>761.25</v>
      </c>
      <c r="S52" s="71" t="n">
        <f aca="false">Q52*M52</f>
        <v>113.75</v>
      </c>
      <c r="T52" s="2" t="n">
        <f aca="false">1+P52</f>
        <v>2</v>
      </c>
      <c r="U52" s="77" t="n">
        <f aca="false">INDEX(Routes!$L$6:$L$9,$C52)*T52*F52</f>
        <v>15</v>
      </c>
      <c r="V52" s="77" t="n">
        <f aca="false">INDEX(Routes!$M$6:$M$9,$C52)*T52*F52</f>
        <v>10.5</v>
      </c>
      <c r="W52" s="77" t="n">
        <f aca="false">INDEX(Routes!$H$6:$H$9,$C52)*2</f>
        <v>0</v>
      </c>
      <c r="X52" s="71" t="n">
        <f aca="false">(U52+V52+W52)*ConsPort</f>
        <v>153</v>
      </c>
      <c r="Y52" s="67" t="n">
        <f aca="false">R52*D52*VLSFO_Mult+(S52+X52)*D52*MGO_Mult</f>
        <v>506946</v>
      </c>
      <c r="Z52" s="67" t="n">
        <f aca="false">(INDEX(Routes!$N$6:$N$9,$C52)+AN52+MIN(AC52*INDEX(Routes!$T$6:$T$9,$C52),INDEX(Routes!$V$6:$V$9,$C52))+INDEX(Routes!$O$6:$O$9,$C52)+AO52+MIN(AC52*INDEX(Routes!$U$6:$U$9,$C52),INDEX(Routes!$W$6:$W$9,$C52))+IF(P52=1,INDEX(Routes!$N$6:$N$9,$C52)+AN52+MIN(AD52*INDEX(Routes!$T$6:$T$9,$C52),INDEX(Routes!$V$6:$V$9,$C52))+INDEX(Routes!$O$6:$O$9,$C52)+AO52+MIN(AD52*INDEX(Routes!$U$6:$U$9,$C52),INDEX(Routes!$W$6:$W$9,$C52)),0))*J52</f>
        <v>266466.6096</v>
      </c>
      <c r="AA52" s="67" t="n">
        <f aca="false">INDEX(Routes!$R$6:$R$9,$C52)+IF(P52=1,INDEX(Routes!$R$6:$R$9,$C52),INDEX(Routes!$S$6:$S$9,$C52))</f>
        <v>0</v>
      </c>
      <c r="AB52" s="67" t="n">
        <f aca="false">((R52*CO2_VLSFO+S52*CO2_MGO)*INDEX(Routes!$I$6:$I$9,$C52)+(U52*INDEX(Routes!$P$6:$P$9,$C52)+V52*INDEX(Routes!$Q$6:$Q$9,$C52))*ConsPort*CO2_MGO)*PhaseIn*K52*FX</f>
        <v>129490.80375</v>
      </c>
      <c r="AC52" s="71" t="n">
        <f aca="false">Capacity*G52</f>
        <v>30600</v>
      </c>
      <c r="AD52" s="71" t="n">
        <f aca="false">Capacity*H52</f>
        <v>18000</v>
      </c>
      <c r="AE52" s="82" t="n">
        <f aca="false">INDEX(Routes!$J$6:$J$9,$C52)*E52</f>
        <v>52</v>
      </c>
      <c r="AF52" s="82" t="n">
        <f aca="false">INDEX(Routes!$K$6:$K$9,$C52)*E52</f>
        <v>38</v>
      </c>
      <c r="AG52" s="67" t="n">
        <f aca="false">AC52*AE52+AD52*AF52</f>
        <v>2275200</v>
      </c>
      <c r="AH52" s="67" t="n">
        <f aca="false">AG52*Commission</f>
        <v>56880</v>
      </c>
      <c r="AI52" s="67" t="n">
        <f aca="false">Y52+Z52+AA52+AB52+MiscVoy</f>
        <v>927903.41335</v>
      </c>
      <c r="AJ52" s="77" t="n">
        <f aca="false">N52+U52+V52+W52</f>
        <v>57.9074074074074</v>
      </c>
      <c r="AK52" s="94" t="n">
        <f aca="false">(AG52-AH52-AI52)/AJ52</f>
        <v>22284.1367697793</v>
      </c>
      <c r="AL52" s="67" t="n">
        <f aca="false">AG52-AH52-AI52-Benchmark*AJ52</f>
        <v>248083.253316667</v>
      </c>
      <c r="AM52" s="82" t="n">
        <f aca="false">IF(AC52&gt;0,((Benchmark*AJ52+AI52)/(1-Commission)-AD52*AF52)/AC52,0)</f>
        <v>43.684824758952</v>
      </c>
      <c r="AN52" s="67" t="n">
        <f aca="false">LOA_ft*Port_Tariffs!$C$9*IF((INDEX(Routes!$L$6:$L$9,$C52)*INDEX(Routes!$X$6:$X$9,$C52)*F52)&lt;=2,(INDEX(Routes!$L$6:$L$9,$C52)*INDEX(Routes!$X$6:$X$9,$C52)*F52),IF((INDEX(Routes!$L$6:$L$9,$C52)*INDEX(Routes!$X$6:$X$9,$C52)*F52)&lt;=3,2+0.9*((INDEX(Routes!$L$6:$L$9,$C52)*INDEX(Routes!$X$6:$X$9,$C52)*F52)-2),IF((INDEX(Routes!$L$6:$L$9,$C52)*INDEX(Routes!$X$6:$X$9,$C52)*F52)&lt;=4,2.9+0.75*((INDEX(Routes!$L$6:$L$9,$C52)*INDEX(Routes!$X$6:$X$9,$C52)*F52)-3),IF((INDEX(Routes!$L$6:$L$9,$C52)*INDEX(Routes!$X$6:$X$9,$C52)*F52)&lt;=5,3.65+0.6*((INDEX(Routes!$L$6:$L$9,$C52)*INDEX(Routes!$X$6:$X$9,$C52)*F52)-4),4.25+0.5*((INDEX(Routes!$L$6:$L$9,$C52)*INDEX(Routes!$X$6:$X$9,$C52)*F52)-5)))))</f>
        <v>26638.8</v>
      </c>
      <c r="AO52" s="67" t="n">
        <f aca="false">LOA_ft*Port_Tariffs!$C$9*IF((INDEX(Routes!$M$6:$M$9,$C52)*INDEX(Routes!$Y$6:$Y$9,$C52)*F52)&lt;=2,(INDEX(Routes!$M$6:$M$9,$C52)*INDEX(Routes!$Y$6:$Y$9,$C52)*F52),IF((INDEX(Routes!$M$6:$M$9,$C52)*INDEX(Routes!$Y$6:$Y$9,$C52)*F52)&lt;=3,2+0.9*((INDEX(Routes!$M$6:$M$9,$C52)*INDEX(Routes!$Y$6:$Y$9,$C52)*F52)-2),IF((INDEX(Routes!$M$6:$M$9,$C52)*INDEX(Routes!$Y$6:$Y$9,$C52)*F52)&lt;=4,2.9+0.75*((INDEX(Routes!$M$6:$M$9,$C52)*INDEX(Routes!$Y$6:$Y$9,$C52)*F52)-3),IF((INDEX(Routes!$M$6:$M$9,$C52)*INDEX(Routes!$Y$6:$Y$9,$C52)*F52)&lt;=5,3.65+0.6*((INDEX(Routes!$M$6:$M$9,$C52)*INDEX(Routes!$Y$6:$Y$9,$C52)*F52)-4),4.25+0.5*((INDEX(Routes!$M$6:$M$9,$C52)*INDEX(Routes!$Y$6:$Y$9,$C52)*F52)-5)))))</f>
        <v>0</v>
      </c>
    </row>
    <row r="53" customFormat="false" ht="15" hidden="false" customHeight="false" outlineLevel="0" collapsed="false">
      <c r="A53" s="2" t="s">
        <v>547</v>
      </c>
      <c r="B53" s="2" t="s">
        <v>536</v>
      </c>
      <c r="C53" s="16" t="n">
        <f aca="false">Sw_Route</f>
        <v>1</v>
      </c>
      <c r="D53" s="70" t="n">
        <v>70</v>
      </c>
      <c r="E53" s="88" t="n">
        <f aca="false">FreightMult</f>
        <v>1</v>
      </c>
      <c r="F53" s="92" t="n">
        <v>1.5</v>
      </c>
      <c r="G53" s="89" t="n">
        <f aca="false">UtilFH</f>
        <v>0.85</v>
      </c>
      <c r="H53" s="89" t="n">
        <f aca="false">UtilBH</f>
        <v>0.5</v>
      </c>
      <c r="I53" s="90" t="n">
        <f aca="false">Speed</f>
        <v>13.5</v>
      </c>
      <c r="J53" s="88" t="n">
        <f aca="false">PortCostMult</f>
        <v>1</v>
      </c>
      <c r="K53" s="90" t="n">
        <f aca="false">EUA</f>
        <v>75</v>
      </c>
      <c r="L53" s="71" t="n">
        <f aca="false">INDEX(Routes!$E$6:$E$9,$C53)</f>
        <v>5000</v>
      </c>
      <c r="M53" s="72" t="n">
        <f aca="false">INDEX(Routes!$F$6:$F$9,$C53)/L53</f>
        <v>0.13</v>
      </c>
      <c r="N53" s="77" t="n">
        <f aca="false">2*L53*(1+SeaMargin)/(I53*24)</f>
        <v>32.4074074074074</v>
      </c>
      <c r="O53" s="84" t="n">
        <f aca="false">(I53/RefSpeed)^SpeedExp</f>
        <v>1</v>
      </c>
      <c r="P53" s="2" t="n">
        <f aca="false">IF(H53&gt;0,1,0)</f>
        <v>1</v>
      </c>
      <c r="Q53" s="71" t="n">
        <f aca="false">N53/2*O53*(ConsLaden+IF(P53=1,ConsLaden,ConsBallast))</f>
        <v>875</v>
      </c>
      <c r="R53" s="71" t="n">
        <f aca="false">Q53*(1-M53)</f>
        <v>761.25</v>
      </c>
      <c r="S53" s="71" t="n">
        <f aca="false">Q53*M53</f>
        <v>113.75</v>
      </c>
      <c r="T53" s="2" t="n">
        <f aca="false">1+P53</f>
        <v>2</v>
      </c>
      <c r="U53" s="77" t="n">
        <f aca="false">INDEX(Routes!$L$6:$L$9,$C53)*T53*F53</f>
        <v>15</v>
      </c>
      <c r="V53" s="77" t="n">
        <f aca="false">INDEX(Routes!$M$6:$M$9,$C53)*T53*F53</f>
        <v>10.5</v>
      </c>
      <c r="W53" s="77" t="n">
        <f aca="false">INDEX(Routes!$H$6:$H$9,$C53)*2</f>
        <v>0</v>
      </c>
      <c r="X53" s="71" t="n">
        <f aca="false">(U53+V53+W53)*ConsPort</f>
        <v>153</v>
      </c>
      <c r="Y53" s="67" t="n">
        <f aca="false">R53*D53*VLSFO_Mult+(S53+X53)*D53*MGO_Mult</f>
        <v>591437</v>
      </c>
      <c r="Z53" s="67" t="n">
        <f aca="false">(INDEX(Routes!$N$6:$N$9,$C53)+AN53+MIN(AC53*INDEX(Routes!$T$6:$T$9,$C53),INDEX(Routes!$V$6:$V$9,$C53))+INDEX(Routes!$O$6:$O$9,$C53)+AO53+MIN(AC53*INDEX(Routes!$U$6:$U$9,$C53),INDEX(Routes!$W$6:$W$9,$C53))+IF(P53=1,INDEX(Routes!$N$6:$N$9,$C53)+AN53+MIN(AD53*INDEX(Routes!$T$6:$T$9,$C53),INDEX(Routes!$V$6:$V$9,$C53))+INDEX(Routes!$O$6:$O$9,$C53)+AO53+MIN(AD53*INDEX(Routes!$U$6:$U$9,$C53),INDEX(Routes!$W$6:$W$9,$C53)),0))*J53</f>
        <v>266466.6096</v>
      </c>
      <c r="AA53" s="67" t="n">
        <f aca="false">INDEX(Routes!$R$6:$R$9,$C53)+IF(P53=1,INDEX(Routes!$R$6:$R$9,$C53),INDEX(Routes!$S$6:$S$9,$C53))</f>
        <v>0</v>
      </c>
      <c r="AB53" s="67" t="n">
        <f aca="false">((R53*CO2_VLSFO+S53*CO2_MGO)*INDEX(Routes!$I$6:$I$9,$C53)+(U53*INDEX(Routes!$P$6:$P$9,$C53)+V53*INDEX(Routes!$Q$6:$Q$9,$C53))*ConsPort*CO2_MGO)*PhaseIn*K53*FX</f>
        <v>129490.80375</v>
      </c>
      <c r="AC53" s="71" t="n">
        <f aca="false">Capacity*G53</f>
        <v>30600</v>
      </c>
      <c r="AD53" s="71" t="n">
        <f aca="false">Capacity*H53</f>
        <v>18000</v>
      </c>
      <c r="AE53" s="82" t="n">
        <f aca="false">INDEX(Routes!$J$6:$J$9,$C53)*E53</f>
        <v>52</v>
      </c>
      <c r="AF53" s="82" t="n">
        <f aca="false">INDEX(Routes!$K$6:$K$9,$C53)*E53</f>
        <v>38</v>
      </c>
      <c r="AG53" s="67" t="n">
        <f aca="false">AC53*AE53+AD53*AF53</f>
        <v>2275200</v>
      </c>
      <c r="AH53" s="67" t="n">
        <f aca="false">AG53*Commission</f>
        <v>56880</v>
      </c>
      <c r="AI53" s="67" t="n">
        <f aca="false">Y53+Z53+AA53+AB53+MiscVoy</f>
        <v>1012394.41335</v>
      </c>
      <c r="AJ53" s="77" t="n">
        <f aca="false">N53+U53+V53+W53</f>
        <v>57.9074074074074</v>
      </c>
      <c r="AK53" s="94" t="n">
        <f aca="false">(AG53-AH53-AI53)/AJ53</f>
        <v>20825.0660950112</v>
      </c>
      <c r="AL53" s="67" t="n">
        <f aca="false">AG53-AH53-AI53-Benchmark*AJ53</f>
        <v>163592.253316667</v>
      </c>
      <c r="AM53" s="82" t="n">
        <f aca="false">IF(AC53&gt;0,((Benchmark*AJ53+AI53)/(1-Commission)-AD53*AF53)/AC53,0)</f>
        <v>46.5167671085414</v>
      </c>
      <c r="AN53" s="67" t="n">
        <f aca="false">LOA_ft*Port_Tariffs!$C$9*IF((INDEX(Routes!$L$6:$L$9,$C53)*INDEX(Routes!$X$6:$X$9,$C53)*F53)&lt;=2,(INDEX(Routes!$L$6:$L$9,$C53)*INDEX(Routes!$X$6:$X$9,$C53)*F53),IF((INDEX(Routes!$L$6:$L$9,$C53)*INDEX(Routes!$X$6:$X$9,$C53)*F53)&lt;=3,2+0.9*((INDEX(Routes!$L$6:$L$9,$C53)*INDEX(Routes!$X$6:$X$9,$C53)*F53)-2),IF((INDEX(Routes!$L$6:$L$9,$C53)*INDEX(Routes!$X$6:$X$9,$C53)*F53)&lt;=4,2.9+0.75*((INDEX(Routes!$L$6:$L$9,$C53)*INDEX(Routes!$X$6:$X$9,$C53)*F53)-3),IF((INDEX(Routes!$L$6:$L$9,$C53)*INDEX(Routes!$X$6:$X$9,$C53)*F53)&lt;=5,3.65+0.6*((INDEX(Routes!$L$6:$L$9,$C53)*INDEX(Routes!$X$6:$X$9,$C53)*F53)-4),4.25+0.5*((INDEX(Routes!$L$6:$L$9,$C53)*INDEX(Routes!$X$6:$X$9,$C53)*F53)-5)))))</f>
        <v>26638.8</v>
      </c>
      <c r="AO53" s="67" t="n">
        <f aca="false">LOA_ft*Port_Tariffs!$C$9*IF((INDEX(Routes!$M$6:$M$9,$C53)*INDEX(Routes!$Y$6:$Y$9,$C53)*F53)&lt;=2,(INDEX(Routes!$M$6:$M$9,$C53)*INDEX(Routes!$Y$6:$Y$9,$C53)*F53),IF((INDEX(Routes!$M$6:$M$9,$C53)*INDEX(Routes!$Y$6:$Y$9,$C53)*F53)&lt;=3,2+0.9*((INDEX(Routes!$M$6:$M$9,$C53)*INDEX(Routes!$Y$6:$Y$9,$C53)*F53)-2),IF((INDEX(Routes!$M$6:$M$9,$C53)*INDEX(Routes!$Y$6:$Y$9,$C53)*F53)&lt;=4,2.9+0.75*((INDEX(Routes!$M$6:$M$9,$C53)*INDEX(Routes!$Y$6:$Y$9,$C53)*F53)-3),IF((INDEX(Routes!$M$6:$M$9,$C53)*INDEX(Routes!$Y$6:$Y$9,$C53)*F53)&lt;=5,3.65+0.6*((INDEX(Routes!$M$6:$M$9,$C53)*INDEX(Routes!$Y$6:$Y$9,$C53)*F53)-4),4.25+0.5*((INDEX(Routes!$M$6:$M$9,$C53)*INDEX(Routes!$Y$6:$Y$9,$C53)*F53)-5)))))</f>
        <v>0</v>
      </c>
    </row>
    <row r="54" customFormat="false" ht="15" hidden="false" customHeight="false" outlineLevel="0" collapsed="false">
      <c r="A54" s="2" t="s">
        <v>548</v>
      </c>
      <c r="B54" s="2" t="s">
        <v>536</v>
      </c>
      <c r="C54" s="16" t="n">
        <f aca="false">Sw_Route</f>
        <v>1</v>
      </c>
      <c r="D54" s="70" t="n">
        <v>80</v>
      </c>
      <c r="E54" s="88" t="n">
        <f aca="false">FreightMult</f>
        <v>1</v>
      </c>
      <c r="F54" s="92" t="n">
        <v>1.5</v>
      </c>
      <c r="G54" s="89" t="n">
        <f aca="false">UtilFH</f>
        <v>0.85</v>
      </c>
      <c r="H54" s="89" t="n">
        <f aca="false">UtilBH</f>
        <v>0.5</v>
      </c>
      <c r="I54" s="90" t="n">
        <f aca="false">Speed</f>
        <v>13.5</v>
      </c>
      <c r="J54" s="88" t="n">
        <f aca="false">PortCostMult</f>
        <v>1</v>
      </c>
      <c r="K54" s="90" t="n">
        <f aca="false">EUA</f>
        <v>75</v>
      </c>
      <c r="L54" s="71" t="n">
        <f aca="false">INDEX(Routes!$E$6:$E$9,$C54)</f>
        <v>5000</v>
      </c>
      <c r="M54" s="72" t="n">
        <f aca="false">INDEX(Routes!$F$6:$F$9,$C54)/L54</f>
        <v>0.13</v>
      </c>
      <c r="N54" s="77" t="n">
        <f aca="false">2*L54*(1+SeaMargin)/(I54*24)</f>
        <v>32.4074074074074</v>
      </c>
      <c r="O54" s="84" t="n">
        <f aca="false">(I54/RefSpeed)^SpeedExp</f>
        <v>1</v>
      </c>
      <c r="P54" s="2" t="n">
        <f aca="false">IF(H54&gt;0,1,0)</f>
        <v>1</v>
      </c>
      <c r="Q54" s="71" t="n">
        <f aca="false">N54/2*O54*(ConsLaden+IF(P54=1,ConsLaden,ConsBallast))</f>
        <v>875</v>
      </c>
      <c r="R54" s="71" t="n">
        <f aca="false">Q54*(1-M54)</f>
        <v>761.25</v>
      </c>
      <c r="S54" s="71" t="n">
        <f aca="false">Q54*M54</f>
        <v>113.75</v>
      </c>
      <c r="T54" s="2" t="n">
        <f aca="false">1+P54</f>
        <v>2</v>
      </c>
      <c r="U54" s="77" t="n">
        <f aca="false">INDEX(Routes!$L$6:$L$9,$C54)*T54*F54</f>
        <v>15</v>
      </c>
      <c r="V54" s="77" t="n">
        <f aca="false">INDEX(Routes!$M$6:$M$9,$C54)*T54*F54</f>
        <v>10.5</v>
      </c>
      <c r="W54" s="77" t="n">
        <f aca="false">INDEX(Routes!$H$6:$H$9,$C54)*2</f>
        <v>0</v>
      </c>
      <c r="X54" s="71" t="n">
        <f aca="false">(U54+V54+W54)*ConsPort</f>
        <v>153</v>
      </c>
      <c r="Y54" s="67" t="n">
        <f aca="false">R54*D54*VLSFO_Mult+(S54+X54)*D54*MGO_Mult</f>
        <v>675928</v>
      </c>
      <c r="Z54" s="67" t="n">
        <f aca="false">(INDEX(Routes!$N$6:$N$9,$C54)+AN54+MIN(AC54*INDEX(Routes!$T$6:$T$9,$C54),INDEX(Routes!$V$6:$V$9,$C54))+INDEX(Routes!$O$6:$O$9,$C54)+AO54+MIN(AC54*INDEX(Routes!$U$6:$U$9,$C54),INDEX(Routes!$W$6:$W$9,$C54))+IF(P54=1,INDEX(Routes!$N$6:$N$9,$C54)+AN54+MIN(AD54*INDEX(Routes!$T$6:$T$9,$C54),INDEX(Routes!$V$6:$V$9,$C54))+INDEX(Routes!$O$6:$O$9,$C54)+AO54+MIN(AD54*INDEX(Routes!$U$6:$U$9,$C54),INDEX(Routes!$W$6:$W$9,$C54)),0))*J54</f>
        <v>266466.6096</v>
      </c>
      <c r="AA54" s="67" t="n">
        <f aca="false">INDEX(Routes!$R$6:$R$9,$C54)+IF(P54=1,INDEX(Routes!$R$6:$R$9,$C54),INDEX(Routes!$S$6:$S$9,$C54))</f>
        <v>0</v>
      </c>
      <c r="AB54" s="67" t="n">
        <f aca="false">((R54*CO2_VLSFO+S54*CO2_MGO)*INDEX(Routes!$I$6:$I$9,$C54)+(U54*INDEX(Routes!$P$6:$P$9,$C54)+V54*INDEX(Routes!$Q$6:$Q$9,$C54))*ConsPort*CO2_MGO)*PhaseIn*K54*FX</f>
        <v>129490.80375</v>
      </c>
      <c r="AC54" s="71" t="n">
        <f aca="false">Capacity*G54</f>
        <v>30600</v>
      </c>
      <c r="AD54" s="71" t="n">
        <f aca="false">Capacity*H54</f>
        <v>18000</v>
      </c>
      <c r="AE54" s="82" t="n">
        <f aca="false">INDEX(Routes!$J$6:$J$9,$C54)*E54</f>
        <v>52</v>
      </c>
      <c r="AF54" s="82" t="n">
        <f aca="false">INDEX(Routes!$K$6:$K$9,$C54)*E54</f>
        <v>38</v>
      </c>
      <c r="AG54" s="67" t="n">
        <f aca="false">AC54*AE54+AD54*AF54</f>
        <v>2275200</v>
      </c>
      <c r="AH54" s="67" t="n">
        <f aca="false">AG54*Commission</f>
        <v>56880</v>
      </c>
      <c r="AI54" s="67" t="n">
        <f aca="false">Y54+Z54+AA54+AB54+MiscVoy</f>
        <v>1096885.41335</v>
      </c>
      <c r="AJ54" s="77" t="n">
        <f aca="false">N54+U54+V54+W54</f>
        <v>57.9074074074074</v>
      </c>
      <c r="AK54" s="94" t="n">
        <f aca="false">(AG54-AH54-AI54)/AJ54</f>
        <v>19365.9954202431</v>
      </c>
      <c r="AL54" s="67" t="n">
        <f aca="false">AG54-AH54-AI54-Benchmark*AJ54</f>
        <v>79101.2533166669</v>
      </c>
      <c r="AM54" s="82" t="n">
        <f aca="false">IF(AC54&gt;0,((Benchmark*AJ54+AI54)/(1-Commission)-AD54*AF54)/AC54,0)</f>
        <v>49.3487094581308</v>
      </c>
      <c r="AN54" s="67" t="n">
        <f aca="false">LOA_ft*Port_Tariffs!$C$9*IF((INDEX(Routes!$L$6:$L$9,$C54)*INDEX(Routes!$X$6:$X$9,$C54)*F54)&lt;=2,(INDEX(Routes!$L$6:$L$9,$C54)*INDEX(Routes!$X$6:$X$9,$C54)*F54),IF((INDEX(Routes!$L$6:$L$9,$C54)*INDEX(Routes!$X$6:$X$9,$C54)*F54)&lt;=3,2+0.9*((INDEX(Routes!$L$6:$L$9,$C54)*INDEX(Routes!$X$6:$X$9,$C54)*F54)-2),IF((INDEX(Routes!$L$6:$L$9,$C54)*INDEX(Routes!$X$6:$X$9,$C54)*F54)&lt;=4,2.9+0.75*((INDEX(Routes!$L$6:$L$9,$C54)*INDEX(Routes!$X$6:$X$9,$C54)*F54)-3),IF((INDEX(Routes!$L$6:$L$9,$C54)*INDEX(Routes!$X$6:$X$9,$C54)*F54)&lt;=5,3.65+0.6*((INDEX(Routes!$L$6:$L$9,$C54)*INDEX(Routes!$X$6:$X$9,$C54)*F54)-4),4.25+0.5*((INDEX(Routes!$L$6:$L$9,$C54)*INDEX(Routes!$X$6:$X$9,$C54)*F54)-5)))))</f>
        <v>26638.8</v>
      </c>
      <c r="AO54" s="67" t="n">
        <f aca="false">LOA_ft*Port_Tariffs!$C$9*IF((INDEX(Routes!$M$6:$M$9,$C54)*INDEX(Routes!$Y$6:$Y$9,$C54)*F54)&lt;=2,(INDEX(Routes!$M$6:$M$9,$C54)*INDEX(Routes!$Y$6:$Y$9,$C54)*F54),IF((INDEX(Routes!$M$6:$M$9,$C54)*INDEX(Routes!$Y$6:$Y$9,$C54)*F54)&lt;=3,2+0.9*((INDEX(Routes!$M$6:$M$9,$C54)*INDEX(Routes!$Y$6:$Y$9,$C54)*F54)-2),IF((INDEX(Routes!$M$6:$M$9,$C54)*INDEX(Routes!$Y$6:$Y$9,$C54)*F54)&lt;=4,2.9+0.75*((INDEX(Routes!$M$6:$M$9,$C54)*INDEX(Routes!$Y$6:$Y$9,$C54)*F54)-3),IF((INDEX(Routes!$M$6:$M$9,$C54)*INDEX(Routes!$Y$6:$Y$9,$C54)*F54)&lt;=5,3.65+0.6*((INDEX(Routes!$M$6:$M$9,$C54)*INDEX(Routes!$Y$6:$Y$9,$C54)*F54)-4),4.25+0.5*((INDEX(Routes!$M$6:$M$9,$C54)*INDEX(Routes!$Y$6:$Y$9,$C54)*F54)-5)))))</f>
        <v>0</v>
      </c>
    </row>
    <row r="55" customFormat="false" ht="15" hidden="false" customHeight="false" outlineLevel="0" collapsed="false">
      <c r="A55" s="2" t="s">
        <v>549</v>
      </c>
      <c r="B55" s="2" t="s">
        <v>536</v>
      </c>
      <c r="C55" s="16" t="n">
        <f aca="false">Sw_Route</f>
        <v>1</v>
      </c>
      <c r="D55" s="70" t="n">
        <v>90</v>
      </c>
      <c r="E55" s="88" t="n">
        <f aca="false">FreightMult</f>
        <v>1</v>
      </c>
      <c r="F55" s="92" t="n">
        <v>1.5</v>
      </c>
      <c r="G55" s="89" t="n">
        <f aca="false">UtilFH</f>
        <v>0.85</v>
      </c>
      <c r="H55" s="89" t="n">
        <f aca="false">UtilBH</f>
        <v>0.5</v>
      </c>
      <c r="I55" s="90" t="n">
        <f aca="false">Speed</f>
        <v>13.5</v>
      </c>
      <c r="J55" s="88" t="n">
        <f aca="false">PortCostMult</f>
        <v>1</v>
      </c>
      <c r="K55" s="90" t="n">
        <f aca="false">EUA</f>
        <v>75</v>
      </c>
      <c r="L55" s="71" t="n">
        <f aca="false">INDEX(Routes!$E$6:$E$9,$C55)</f>
        <v>5000</v>
      </c>
      <c r="M55" s="72" t="n">
        <f aca="false">INDEX(Routes!$F$6:$F$9,$C55)/L55</f>
        <v>0.13</v>
      </c>
      <c r="N55" s="77" t="n">
        <f aca="false">2*L55*(1+SeaMargin)/(I55*24)</f>
        <v>32.4074074074074</v>
      </c>
      <c r="O55" s="84" t="n">
        <f aca="false">(I55/RefSpeed)^SpeedExp</f>
        <v>1</v>
      </c>
      <c r="P55" s="2" t="n">
        <f aca="false">IF(H55&gt;0,1,0)</f>
        <v>1</v>
      </c>
      <c r="Q55" s="71" t="n">
        <f aca="false">N55/2*O55*(ConsLaden+IF(P55=1,ConsLaden,ConsBallast))</f>
        <v>875</v>
      </c>
      <c r="R55" s="71" t="n">
        <f aca="false">Q55*(1-M55)</f>
        <v>761.25</v>
      </c>
      <c r="S55" s="71" t="n">
        <f aca="false">Q55*M55</f>
        <v>113.75</v>
      </c>
      <c r="T55" s="2" t="n">
        <f aca="false">1+P55</f>
        <v>2</v>
      </c>
      <c r="U55" s="77" t="n">
        <f aca="false">INDEX(Routes!$L$6:$L$9,$C55)*T55*F55</f>
        <v>15</v>
      </c>
      <c r="V55" s="77" t="n">
        <f aca="false">INDEX(Routes!$M$6:$M$9,$C55)*T55*F55</f>
        <v>10.5</v>
      </c>
      <c r="W55" s="77" t="n">
        <f aca="false">INDEX(Routes!$H$6:$H$9,$C55)*2</f>
        <v>0</v>
      </c>
      <c r="X55" s="71" t="n">
        <f aca="false">(U55+V55+W55)*ConsPort</f>
        <v>153</v>
      </c>
      <c r="Y55" s="67" t="n">
        <f aca="false">R55*D55*VLSFO_Mult+(S55+X55)*D55*MGO_Mult</f>
        <v>760419</v>
      </c>
      <c r="Z55" s="67" t="n">
        <f aca="false">(INDEX(Routes!$N$6:$N$9,$C55)+AN55+MIN(AC55*INDEX(Routes!$T$6:$T$9,$C55),INDEX(Routes!$V$6:$V$9,$C55))+INDEX(Routes!$O$6:$O$9,$C55)+AO55+MIN(AC55*INDEX(Routes!$U$6:$U$9,$C55),INDEX(Routes!$W$6:$W$9,$C55))+IF(P55=1,INDEX(Routes!$N$6:$N$9,$C55)+AN55+MIN(AD55*INDEX(Routes!$T$6:$T$9,$C55),INDEX(Routes!$V$6:$V$9,$C55))+INDEX(Routes!$O$6:$O$9,$C55)+AO55+MIN(AD55*INDEX(Routes!$U$6:$U$9,$C55),INDEX(Routes!$W$6:$W$9,$C55)),0))*J55</f>
        <v>266466.6096</v>
      </c>
      <c r="AA55" s="67" t="n">
        <f aca="false">INDEX(Routes!$R$6:$R$9,$C55)+IF(P55=1,INDEX(Routes!$R$6:$R$9,$C55),INDEX(Routes!$S$6:$S$9,$C55))</f>
        <v>0</v>
      </c>
      <c r="AB55" s="67" t="n">
        <f aca="false">((R55*CO2_VLSFO+S55*CO2_MGO)*INDEX(Routes!$I$6:$I$9,$C55)+(U55*INDEX(Routes!$P$6:$P$9,$C55)+V55*INDEX(Routes!$Q$6:$Q$9,$C55))*ConsPort*CO2_MGO)*PhaseIn*K55*FX</f>
        <v>129490.80375</v>
      </c>
      <c r="AC55" s="71" t="n">
        <f aca="false">Capacity*G55</f>
        <v>30600</v>
      </c>
      <c r="AD55" s="71" t="n">
        <f aca="false">Capacity*H55</f>
        <v>18000</v>
      </c>
      <c r="AE55" s="82" t="n">
        <f aca="false">INDEX(Routes!$J$6:$J$9,$C55)*E55</f>
        <v>52</v>
      </c>
      <c r="AF55" s="82" t="n">
        <f aca="false">INDEX(Routes!$K$6:$K$9,$C55)*E55</f>
        <v>38</v>
      </c>
      <c r="AG55" s="67" t="n">
        <f aca="false">AC55*AE55+AD55*AF55</f>
        <v>2275200</v>
      </c>
      <c r="AH55" s="67" t="n">
        <f aca="false">AG55*Commission</f>
        <v>56880</v>
      </c>
      <c r="AI55" s="67" t="n">
        <f aca="false">Y55+Z55+AA55+AB55+MiscVoy</f>
        <v>1181376.41335</v>
      </c>
      <c r="AJ55" s="77" t="n">
        <f aca="false">N55+U55+V55+W55</f>
        <v>57.9074074074074</v>
      </c>
      <c r="AK55" s="94" t="n">
        <f aca="false">(AG55-AH55-AI55)/AJ55</f>
        <v>17906.9247454749</v>
      </c>
      <c r="AL55" s="67" t="n">
        <f aca="false">AG55-AH55-AI55-Benchmark*AJ55</f>
        <v>-5389.74668333307</v>
      </c>
      <c r="AM55" s="82" t="n">
        <f aca="false">IF(AC55&gt;0,((Benchmark*AJ55+AI55)/(1-Commission)-AD55*AF55)/AC55,0)</f>
        <v>52.1806518077202</v>
      </c>
      <c r="AN55" s="67" t="n">
        <f aca="false">LOA_ft*Port_Tariffs!$C$9*IF((INDEX(Routes!$L$6:$L$9,$C55)*INDEX(Routes!$X$6:$X$9,$C55)*F55)&lt;=2,(INDEX(Routes!$L$6:$L$9,$C55)*INDEX(Routes!$X$6:$X$9,$C55)*F55),IF((INDEX(Routes!$L$6:$L$9,$C55)*INDEX(Routes!$X$6:$X$9,$C55)*F55)&lt;=3,2+0.9*((INDEX(Routes!$L$6:$L$9,$C55)*INDEX(Routes!$X$6:$X$9,$C55)*F55)-2),IF((INDEX(Routes!$L$6:$L$9,$C55)*INDEX(Routes!$X$6:$X$9,$C55)*F55)&lt;=4,2.9+0.75*((INDEX(Routes!$L$6:$L$9,$C55)*INDEX(Routes!$X$6:$X$9,$C55)*F55)-3),IF((INDEX(Routes!$L$6:$L$9,$C55)*INDEX(Routes!$X$6:$X$9,$C55)*F55)&lt;=5,3.65+0.6*((INDEX(Routes!$L$6:$L$9,$C55)*INDEX(Routes!$X$6:$X$9,$C55)*F55)-4),4.25+0.5*((INDEX(Routes!$L$6:$L$9,$C55)*INDEX(Routes!$X$6:$X$9,$C55)*F55)-5)))))</f>
        <v>26638.8</v>
      </c>
      <c r="AO55" s="67" t="n">
        <f aca="false">LOA_ft*Port_Tariffs!$C$9*IF((INDEX(Routes!$M$6:$M$9,$C55)*INDEX(Routes!$Y$6:$Y$9,$C55)*F55)&lt;=2,(INDEX(Routes!$M$6:$M$9,$C55)*INDEX(Routes!$Y$6:$Y$9,$C55)*F55),IF((INDEX(Routes!$M$6:$M$9,$C55)*INDEX(Routes!$Y$6:$Y$9,$C55)*F55)&lt;=3,2+0.9*((INDEX(Routes!$M$6:$M$9,$C55)*INDEX(Routes!$Y$6:$Y$9,$C55)*F55)-2),IF((INDEX(Routes!$M$6:$M$9,$C55)*INDEX(Routes!$Y$6:$Y$9,$C55)*F55)&lt;=4,2.9+0.75*((INDEX(Routes!$M$6:$M$9,$C55)*INDEX(Routes!$Y$6:$Y$9,$C55)*F55)-3),IF((INDEX(Routes!$M$6:$M$9,$C55)*INDEX(Routes!$Y$6:$Y$9,$C55)*F55)&lt;=5,3.65+0.6*((INDEX(Routes!$M$6:$M$9,$C55)*INDEX(Routes!$Y$6:$Y$9,$C55)*F55)-4),4.25+0.5*((INDEX(Routes!$M$6:$M$9,$C55)*INDEX(Routes!$Y$6:$Y$9,$C55)*F55)-5)))))</f>
        <v>0</v>
      </c>
    </row>
    <row r="56" customFormat="false" ht="15" hidden="false" customHeight="false" outlineLevel="0" collapsed="false">
      <c r="A56" s="2" t="s">
        <v>550</v>
      </c>
      <c r="B56" s="2" t="s">
        <v>536</v>
      </c>
      <c r="C56" s="16" t="n">
        <f aca="false">Sw_Route</f>
        <v>1</v>
      </c>
      <c r="D56" s="70" t="n">
        <v>100</v>
      </c>
      <c r="E56" s="88" t="n">
        <f aca="false">FreightMult</f>
        <v>1</v>
      </c>
      <c r="F56" s="92" t="n">
        <v>1.5</v>
      </c>
      <c r="G56" s="89" t="n">
        <f aca="false">UtilFH</f>
        <v>0.85</v>
      </c>
      <c r="H56" s="89" t="n">
        <f aca="false">UtilBH</f>
        <v>0.5</v>
      </c>
      <c r="I56" s="90" t="n">
        <f aca="false">Speed</f>
        <v>13.5</v>
      </c>
      <c r="J56" s="88" t="n">
        <f aca="false">PortCostMult</f>
        <v>1</v>
      </c>
      <c r="K56" s="90" t="n">
        <f aca="false">EUA</f>
        <v>75</v>
      </c>
      <c r="L56" s="71" t="n">
        <f aca="false">INDEX(Routes!$E$6:$E$9,$C56)</f>
        <v>5000</v>
      </c>
      <c r="M56" s="72" t="n">
        <f aca="false">INDEX(Routes!$F$6:$F$9,$C56)/L56</f>
        <v>0.13</v>
      </c>
      <c r="N56" s="77" t="n">
        <f aca="false">2*L56*(1+SeaMargin)/(I56*24)</f>
        <v>32.4074074074074</v>
      </c>
      <c r="O56" s="84" t="n">
        <f aca="false">(I56/RefSpeed)^SpeedExp</f>
        <v>1</v>
      </c>
      <c r="P56" s="2" t="n">
        <f aca="false">IF(H56&gt;0,1,0)</f>
        <v>1</v>
      </c>
      <c r="Q56" s="71" t="n">
        <f aca="false">N56/2*O56*(ConsLaden+IF(P56=1,ConsLaden,ConsBallast))</f>
        <v>875</v>
      </c>
      <c r="R56" s="71" t="n">
        <f aca="false">Q56*(1-M56)</f>
        <v>761.25</v>
      </c>
      <c r="S56" s="71" t="n">
        <f aca="false">Q56*M56</f>
        <v>113.75</v>
      </c>
      <c r="T56" s="2" t="n">
        <f aca="false">1+P56</f>
        <v>2</v>
      </c>
      <c r="U56" s="77" t="n">
        <f aca="false">INDEX(Routes!$L$6:$L$9,$C56)*T56*F56</f>
        <v>15</v>
      </c>
      <c r="V56" s="77" t="n">
        <f aca="false">INDEX(Routes!$M$6:$M$9,$C56)*T56*F56</f>
        <v>10.5</v>
      </c>
      <c r="W56" s="77" t="n">
        <f aca="false">INDEX(Routes!$H$6:$H$9,$C56)*2</f>
        <v>0</v>
      </c>
      <c r="X56" s="71" t="n">
        <f aca="false">(U56+V56+W56)*ConsPort</f>
        <v>153</v>
      </c>
      <c r="Y56" s="67" t="n">
        <f aca="false">R56*D56*VLSFO_Mult+(S56+X56)*D56*MGO_Mult</f>
        <v>844910</v>
      </c>
      <c r="Z56" s="67" t="n">
        <f aca="false">(INDEX(Routes!$N$6:$N$9,$C56)+AN56+MIN(AC56*INDEX(Routes!$T$6:$T$9,$C56),INDEX(Routes!$V$6:$V$9,$C56))+INDEX(Routes!$O$6:$O$9,$C56)+AO56+MIN(AC56*INDEX(Routes!$U$6:$U$9,$C56),INDEX(Routes!$W$6:$W$9,$C56))+IF(P56=1,INDEX(Routes!$N$6:$N$9,$C56)+AN56+MIN(AD56*INDEX(Routes!$T$6:$T$9,$C56),INDEX(Routes!$V$6:$V$9,$C56))+INDEX(Routes!$O$6:$O$9,$C56)+AO56+MIN(AD56*INDEX(Routes!$U$6:$U$9,$C56),INDEX(Routes!$W$6:$W$9,$C56)),0))*J56</f>
        <v>266466.6096</v>
      </c>
      <c r="AA56" s="67" t="n">
        <f aca="false">INDEX(Routes!$R$6:$R$9,$C56)+IF(P56=1,INDEX(Routes!$R$6:$R$9,$C56),INDEX(Routes!$S$6:$S$9,$C56))</f>
        <v>0</v>
      </c>
      <c r="AB56" s="67" t="n">
        <f aca="false">((R56*CO2_VLSFO+S56*CO2_MGO)*INDEX(Routes!$I$6:$I$9,$C56)+(U56*INDEX(Routes!$P$6:$P$9,$C56)+V56*INDEX(Routes!$Q$6:$Q$9,$C56))*ConsPort*CO2_MGO)*PhaseIn*K56*FX</f>
        <v>129490.80375</v>
      </c>
      <c r="AC56" s="71" t="n">
        <f aca="false">Capacity*G56</f>
        <v>30600</v>
      </c>
      <c r="AD56" s="71" t="n">
        <f aca="false">Capacity*H56</f>
        <v>18000</v>
      </c>
      <c r="AE56" s="82" t="n">
        <f aca="false">INDEX(Routes!$J$6:$J$9,$C56)*E56</f>
        <v>52</v>
      </c>
      <c r="AF56" s="82" t="n">
        <f aca="false">INDEX(Routes!$K$6:$K$9,$C56)*E56</f>
        <v>38</v>
      </c>
      <c r="AG56" s="67" t="n">
        <f aca="false">AC56*AE56+AD56*AF56</f>
        <v>2275200</v>
      </c>
      <c r="AH56" s="67" t="n">
        <f aca="false">AG56*Commission</f>
        <v>56880</v>
      </c>
      <c r="AI56" s="67" t="n">
        <f aca="false">Y56+Z56+AA56+AB56+MiscVoy</f>
        <v>1265867.41335</v>
      </c>
      <c r="AJ56" s="77" t="n">
        <f aca="false">N56+U56+V56+W56</f>
        <v>57.9074074074074</v>
      </c>
      <c r="AK56" s="94" t="n">
        <f aca="false">(AG56-AH56-AI56)/AJ56</f>
        <v>16447.8540707068</v>
      </c>
      <c r="AL56" s="67" t="n">
        <f aca="false">AG56-AH56-AI56-Benchmark*AJ56</f>
        <v>-89880.7466833331</v>
      </c>
      <c r="AM56" s="82" t="n">
        <f aca="false">IF(AC56&gt;0,((Benchmark*AJ56+AI56)/(1-Commission)-AD56*AF56)/AC56,0)</f>
        <v>55.0125941573096</v>
      </c>
      <c r="AN56" s="67" t="n">
        <f aca="false">LOA_ft*Port_Tariffs!$C$9*IF((INDEX(Routes!$L$6:$L$9,$C56)*INDEX(Routes!$X$6:$X$9,$C56)*F56)&lt;=2,(INDEX(Routes!$L$6:$L$9,$C56)*INDEX(Routes!$X$6:$X$9,$C56)*F56),IF((INDEX(Routes!$L$6:$L$9,$C56)*INDEX(Routes!$X$6:$X$9,$C56)*F56)&lt;=3,2+0.9*((INDEX(Routes!$L$6:$L$9,$C56)*INDEX(Routes!$X$6:$X$9,$C56)*F56)-2),IF((INDEX(Routes!$L$6:$L$9,$C56)*INDEX(Routes!$X$6:$X$9,$C56)*F56)&lt;=4,2.9+0.75*((INDEX(Routes!$L$6:$L$9,$C56)*INDEX(Routes!$X$6:$X$9,$C56)*F56)-3),IF((INDEX(Routes!$L$6:$L$9,$C56)*INDEX(Routes!$X$6:$X$9,$C56)*F56)&lt;=5,3.65+0.6*((INDEX(Routes!$L$6:$L$9,$C56)*INDEX(Routes!$X$6:$X$9,$C56)*F56)-4),4.25+0.5*((INDEX(Routes!$L$6:$L$9,$C56)*INDEX(Routes!$X$6:$X$9,$C56)*F56)-5)))))</f>
        <v>26638.8</v>
      </c>
      <c r="AO56" s="67" t="n">
        <f aca="false">LOA_ft*Port_Tariffs!$C$9*IF((INDEX(Routes!$M$6:$M$9,$C56)*INDEX(Routes!$Y$6:$Y$9,$C56)*F56)&lt;=2,(INDEX(Routes!$M$6:$M$9,$C56)*INDEX(Routes!$Y$6:$Y$9,$C56)*F56),IF((INDEX(Routes!$M$6:$M$9,$C56)*INDEX(Routes!$Y$6:$Y$9,$C56)*F56)&lt;=3,2+0.9*((INDEX(Routes!$M$6:$M$9,$C56)*INDEX(Routes!$Y$6:$Y$9,$C56)*F56)-2),IF((INDEX(Routes!$M$6:$M$9,$C56)*INDEX(Routes!$Y$6:$Y$9,$C56)*F56)&lt;=4,2.9+0.75*((INDEX(Routes!$M$6:$M$9,$C56)*INDEX(Routes!$Y$6:$Y$9,$C56)*F56)-3),IF((INDEX(Routes!$M$6:$M$9,$C56)*INDEX(Routes!$Y$6:$Y$9,$C56)*F56)&lt;=5,3.65+0.6*((INDEX(Routes!$M$6:$M$9,$C56)*INDEX(Routes!$Y$6:$Y$9,$C56)*F56)-4),4.25+0.5*((INDEX(Routes!$M$6:$M$9,$C56)*INDEX(Routes!$Y$6:$Y$9,$C56)*F56)-5)))))</f>
        <v>0</v>
      </c>
    </row>
    <row r="57" customFormat="false" ht="15" hidden="false" customHeight="false" outlineLevel="0" collapsed="false">
      <c r="A57" s="2" t="s">
        <v>551</v>
      </c>
      <c r="B57" s="2" t="s">
        <v>536</v>
      </c>
      <c r="C57" s="16" t="n">
        <f aca="false">Sw_Route</f>
        <v>1</v>
      </c>
      <c r="D57" s="70" t="n">
        <v>110</v>
      </c>
      <c r="E57" s="88" t="n">
        <f aca="false">FreightMult</f>
        <v>1</v>
      </c>
      <c r="F57" s="92" t="n">
        <v>1.5</v>
      </c>
      <c r="G57" s="89" t="n">
        <f aca="false">UtilFH</f>
        <v>0.85</v>
      </c>
      <c r="H57" s="89" t="n">
        <f aca="false">UtilBH</f>
        <v>0.5</v>
      </c>
      <c r="I57" s="90" t="n">
        <f aca="false">Speed</f>
        <v>13.5</v>
      </c>
      <c r="J57" s="88" t="n">
        <f aca="false">PortCostMult</f>
        <v>1</v>
      </c>
      <c r="K57" s="90" t="n">
        <f aca="false">EUA</f>
        <v>75</v>
      </c>
      <c r="L57" s="71" t="n">
        <f aca="false">INDEX(Routes!$E$6:$E$9,$C57)</f>
        <v>5000</v>
      </c>
      <c r="M57" s="72" t="n">
        <f aca="false">INDEX(Routes!$F$6:$F$9,$C57)/L57</f>
        <v>0.13</v>
      </c>
      <c r="N57" s="77" t="n">
        <f aca="false">2*L57*(1+SeaMargin)/(I57*24)</f>
        <v>32.4074074074074</v>
      </c>
      <c r="O57" s="84" t="n">
        <f aca="false">(I57/RefSpeed)^SpeedExp</f>
        <v>1</v>
      </c>
      <c r="P57" s="2" t="n">
        <f aca="false">IF(H57&gt;0,1,0)</f>
        <v>1</v>
      </c>
      <c r="Q57" s="71" t="n">
        <f aca="false">N57/2*O57*(ConsLaden+IF(P57=1,ConsLaden,ConsBallast))</f>
        <v>875</v>
      </c>
      <c r="R57" s="71" t="n">
        <f aca="false">Q57*(1-M57)</f>
        <v>761.25</v>
      </c>
      <c r="S57" s="71" t="n">
        <f aca="false">Q57*M57</f>
        <v>113.75</v>
      </c>
      <c r="T57" s="2" t="n">
        <f aca="false">1+P57</f>
        <v>2</v>
      </c>
      <c r="U57" s="77" t="n">
        <f aca="false">INDEX(Routes!$L$6:$L$9,$C57)*T57*F57</f>
        <v>15</v>
      </c>
      <c r="V57" s="77" t="n">
        <f aca="false">INDEX(Routes!$M$6:$M$9,$C57)*T57*F57</f>
        <v>10.5</v>
      </c>
      <c r="W57" s="77" t="n">
        <f aca="false">INDEX(Routes!$H$6:$H$9,$C57)*2</f>
        <v>0</v>
      </c>
      <c r="X57" s="71" t="n">
        <f aca="false">(U57+V57+W57)*ConsPort</f>
        <v>153</v>
      </c>
      <c r="Y57" s="67" t="n">
        <f aca="false">R57*D57*VLSFO_Mult+(S57+X57)*D57*MGO_Mult</f>
        <v>929401</v>
      </c>
      <c r="Z57" s="67" t="n">
        <f aca="false">(INDEX(Routes!$N$6:$N$9,$C57)+AN57+MIN(AC57*INDEX(Routes!$T$6:$T$9,$C57),INDEX(Routes!$V$6:$V$9,$C57))+INDEX(Routes!$O$6:$O$9,$C57)+AO57+MIN(AC57*INDEX(Routes!$U$6:$U$9,$C57),INDEX(Routes!$W$6:$W$9,$C57))+IF(P57=1,INDEX(Routes!$N$6:$N$9,$C57)+AN57+MIN(AD57*INDEX(Routes!$T$6:$T$9,$C57),INDEX(Routes!$V$6:$V$9,$C57))+INDEX(Routes!$O$6:$O$9,$C57)+AO57+MIN(AD57*INDEX(Routes!$U$6:$U$9,$C57),INDEX(Routes!$W$6:$W$9,$C57)),0))*J57</f>
        <v>266466.6096</v>
      </c>
      <c r="AA57" s="67" t="n">
        <f aca="false">INDEX(Routes!$R$6:$R$9,$C57)+IF(P57=1,INDEX(Routes!$R$6:$R$9,$C57),INDEX(Routes!$S$6:$S$9,$C57))</f>
        <v>0</v>
      </c>
      <c r="AB57" s="67" t="n">
        <f aca="false">((R57*CO2_VLSFO+S57*CO2_MGO)*INDEX(Routes!$I$6:$I$9,$C57)+(U57*INDEX(Routes!$P$6:$P$9,$C57)+V57*INDEX(Routes!$Q$6:$Q$9,$C57))*ConsPort*CO2_MGO)*PhaseIn*K57*FX</f>
        <v>129490.80375</v>
      </c>
      <c r="AC57" s="71" t="n">
        <f aca="false">Capacity*G57</f>
        <v>30600</v>
      </c>
      <c r="AD57" s="71" t="n">
        <f aca="false">Capacity*H57</f>
        <v>18000</v>
      </c>
      <c r="AE57" s="82" t="n">
        <f aca="false">INDEX(Routes!$J$6:$J$9,$C57)*E57</f>
        <v>52</v>
      </c>
      <c r="AF57" s="82" t="n">
        <f aca="false">INDEX(Routes!$K$6:$K$9,$C57)*E57</f>
        <v>38</v>
      </c>
      <c r="AG57" s="67" t="n">
        <f aca="false">AC57*AE57+AD57*AF57</f>
        <v>2275200</v>
      </c>
      <c r="AH57" s="67" t="n">
        <f aca="false">AG57*Commission</f>
        <v>56880</v>
      </c>
      <c r="AI57" s="67" t="n">
        <f aca="false">Y57+Z57+AA57+AB57+MiscVoy</f>
        <v>1350358.41335</v>
      </c>
      <c r="AJ57" s="77" t="n">
        <f aca="false">N57+U57+V57+W57</f>
        <v>57.9074074074074</v>
      </c>
      <c r="AK57" s="94" t="n">
        <f aca="false">(AG57-AH57-AI57)/AJ57</f>
        <v>14988.7833959386</v>
      </c>
      <c r="AL57" s="67" t="n">
        <f aca="false">AG57-AH57-AI57-Benchmark*AJ57</f>
        <v>-174371.746683333</v>
      </c>
      <c r="AM57" s="82" t="n">
        <f aca="false">IF(AC57&gt;0,((Benchmark*AJ57+AI57)/(1-Commission)-AD57*AF57)/AC57,0)</f>
        <v>57.8445365068991</v>
      </c>
      <c r="AN57" s="67" t="n">
        <f aca="false">LOA_ft*Port_Tariffs!$C$9*IF((INDEX(Routes!$L$6:$L$9,$C57)*INDEX(Routes!$X$6:$X$9,$C57)*F57)&lt;=2,(INDEX(Routes!$L$6:$L$9,$C57)*INDEX(Routes!$X$6:$X$9,$C57)*F57),IF((INDEX(Routes!$L$6:$L$9,$C57)*INDEX(Routes!$X$6:$X$9,$C57)*F57)&lt;=3,2+0.9*((INDEX(Routes!$L$6:$L$9,$C57)*INDEX(Routes!$X$6:$X$9,$C57)*F57)-2),IF((INDEX(Routes!$L$6:$L$9,$C57)*INDEX(Routes!$X$6:$X$9,$C57)*F57)&lt;=4,2.9+0.75*((INDEX(Routes!$L$6:$L$9,$C57)*INDEX(Routes!$X$6:$X$9,$C57)*F57)-3),IF((INDEX(Routes!$L$6:$L$9,$C57)*INDEX(Routes!$X$6:$X$9,$C57)*F57)&lt;=5,3.65+0.6*((INDEX(Routes!$L$6:$L$9,$C57)*INDEX(Routes!$X$6:$X$9,$C57)*F57)-4),4.25+0.5*((INDEX(Routes!$L$6:$L$9,$C57)*INDEX(Routes!$X$6:$X$9,$C57)*F57)-5)))))</f>
        <v>26638.8</v>
      </c>
      <c r="AO57" s="67" t="n">
        <f aca="false">LOA_ft*Port_Tariffs!$C$9*IF((INDEX(Routes!$M$6:$M$9,$C57)*INDEX(Routes!$Y$6:$Y$9,$C57)*F57)&lt;=2,(INDEX(Routes!$M$6:$M$9,$C57)*INDEX(Routes!$Y$6:$Y$9,$C57)*F57),IF((INDEX(Routes!$M$6:$M$9,$C57)*INDEX(Routes!$Y$6:$Y$9,$C57)*F57)&lt;=3,2+0.9*((INDEX(Routes!$M$6:$M$9,$C57)*INDEX(Routes!$Y$6:$Y$9,$C57)*F57)-2),IF((INDEX(Routes!$M$6:$M$9,$C57)*INDEX(Routes!$Y$6:$Y$9,$C57)*F57)&lt;=4,2.9+0.75*((INDEX(Routes!$M$6:$M$9,$C57)*INDEX(Routes!$Y$6:$Y$9,$C57)*F57)-3),IF((INDEX(Routes!$M$6:$M$9,$C57)*INDEX(Routes!$Y$6:$Y$9,$C57)*F57)&lt;=5,3.65+0.6*((INDEX(Routes!$M$6:$M$9,$C57)*INDEX(Routes!$Y$6:$Y$9,$C57)*F57)-4),4.25+0.5*((INDEX(Routes!$M$6:$M$9,$C57)*INDEX(Routes!$Y$6:$Y$9,$C57)*F57)-5)))))</f>
        <v>0</v>
      </c>
    </row>
    <row r="58" customFormat="false" ht="15" hidden="false" customHeight="false" outlineLevel="0" collapsed="false">
      <c r="A58" s="2" t="s">
        <v>552</v>
      </c>
      <c r="B58" s="2" t="s">
        <v>536</v>
      </c>
      <c r="C58" s="16" t="n">
        <f aca="false">Sw_Route</f>
        <v>1</v>
      </c>
      <c r="D58" s="70" t="n">
        <v>120</v>
      </c>
      <c r="E58" s="88" t="n">
        <f aca="false">FreightMult</f>
        <v>1</v>
      </c>
      <c r="F58" s="92" t="n">
        <v>1.5</v>
      </c>
      <c r="G58" s="89" t="n">
        <f aca="false">UtilFH</f>
        <v>0.85</v>
      </c>
      <c r="H58" s="89" t="n">
        <f aca="false">UtilBH</f>
        <v>0.5</v>
      </c>
      <c r="I58" s="90" t="n">
        <f aca="false">Speed</f>
        <v>13.5</v>
      </c>
      <c r="J58" s="88" t="n">
        <f aca="false">PortCostMult</f>
        <v>1</v>
      </c>
      <c r="K58" s="90" t="n">
        <f aca="false">EUA</f>
        <v>75</v>
      </c>
      <c r="L58" s="71" t="n">
        <f aca="false">INDEX(Routes!$E$6:$E$9,$C58)</f>
        <v>5000</v>
      </c>
      <c r="M58" s="72" t="n">
        <f aca="false">INDEX(Routes!$F$6:$F$9,$C58)/L58</f>
        <v>0.13</v>
      </c>
      <c r="N58" s="77" t="n">
        <f aca="false">2*L58*(1+SeaMargin)/(I58*24)</f>
        <v>32.4074074074074</v>
      </c>
      <c r="O58" s="84" t="n">
        <f aca="false">(I58/RefSpeed)^SpeedExp</f>
        <v>1</v>
      </c>
      <c r="P58" s="2" t="n">
        <f aca="false">IF(H58&gt;0,1,0)</f>
        <v>1</v>
      </c>
      <c r="Q58" s="71" t="n">
        <f aca="false">N58/2*O58*(ConsLaden+IF(P58=1,ConsLaden,ConsBallast))</f>
        <v>875</v>
      </c>
      <c r="R58" s="71" t="n">
        <f aca="false">Q58*(1-M58)</f>
        <v>761.25</v>
      </c>
      <c r="S58" s="71" t="n">
        <f aca="false">Q58*M58</f>
        <v>113.75</v>
      </c>
      <c r="T58" s="2" t="n">
        <f aca="false">1+P58</f>
        <v>2</v>
      </c>
      <c r="U58" s="77" t="n">
        <f aca="false">INDEX(Routes!$L$6:$L$9,$C58)*T58*F58</f>
        <v>15</v>
      </c>
      <c r="V58" s="77" t="n">
        <f aca="false">INDEX(Routes!$M$6:$M$9,$C58)*T58*F58</f>
        <v>10.5</v>
      </c>
      <c r="W58" s="77" t="n">
        <f aca="false">INDEX(Routes!$H$6:$H$9,$C58)*2</f>
        <v>0</v>
      </c>
      <c r="X58" s="71" t="n">
        <f aca="false">(U58+V58+W58)*ConsPort</f>
        <v>153</v>
      </c>
      <c r="Y58" s="67" t="n">
        <f aca="false">R58*D58*VLSFO_Mult+(S58+X58)*D58*MGO_Mult</f>
        <v>1013892</v>
      </c>
      <c r="Z58" s="67" t="n">
        <f aca="false">(INDEX(Routes!$N$6:$N$9,$C58)+AN58+MIN(AC58*INDEX(Routes!$T$6:$T$9,$C58),INDEX(Routes!$V$6:$V$9,$C58))+INDEX(Routes!$O$6:$O$9,$C58)+AO58+MIN(AC58*INDEX(Routes!$U$6:$U$9,$C58),INDEX(Routes!$W$6:$W$9,$C58))+IF(P58=1,INDEX(Routes!$N$6:$N$9,$C58)+AN58+MIN(AD58*INDEX(Routes!$T$6:$T$9,$C58),INDEX(Routes!$V$6:$V$9,$C58))+INDEX(Routes!$O$6:$O$9,$C58)+AO58+MIN(AD58*INDEX(Routes!$U$6:$U$9,$C58),INDEX(Routes!$W$6:$W$9,$C58)),0))*J58</f>
        <v>266466.6096</v>
      </c>
      <c r="AA58" s="67" t="n">
        <f aca="false">INDEX(Routes!$R$6:$R$9,$C58)+IF(P58=1,INDEX(Routes!$R$6:$R$9,$C58),INDEX(Routes!$S$6:$S$9,$C58))</f>
        <v>0</v>
      </c>
      <c r="AB58" s="67" t="n">
        <f aca="false">((R58*CO2_VLSFO+S58*CO2_MGO)*INDEX(Routes!$I$6:$I$9,$C58)+(U58*INDEX(Routes!$P$6:$P$9,$C58)+V58*INDEX(Routes!$Q$6:$Q$9,$C58))*ConsPort*CO2_MGO)*PhaseIn*K58*FX</f>
        <v>129490.80375</v>
      </c>
      <c r="AC58" s="71" t="n">
        <f aca="false">Capacity*G58</f>
        <v>30600</v>
      </c>
      <c r="AD58" s="71" t="n">
        <f aca="false">Capacity*H58</f>
        <v>18000</v>
      </c>
      <c r="AE58" s="82" t="n">
        <f aca="false">INDEX(Routes!$J$6:$J$9,$C58)*E58</f>
        <v>52</v>
      </c>
      <c r="AF58" s="82" t="n">
        <f aca="false">INDEX(Routes!$K$6:$K$9,$C58)*E58</f>
        <v>38</v>
      </c>
      <c r="AG58" s="67" t="n">
        <f aca="false">AC58*AE58+AD58*AF58</f>
        <v>2275200</v>
      </c>
      <c r="AH58" s="67" t="n">
        <f aca="false">AG58*Commission</f>
        <v>56880</v>
      </c>
      <c r="AI58" s="67" t="n">
        <f aca="false">Y58+Z58+AA58+AB58+MiscVoy</f>
        <v>1434849.41335</v>
      </c>
      <c r="AJ58" s="77" t="n">
        <f aca="false">N58+U58+V58+W58</f>
        <v>57.9074074074074</v>
      </c>
      <c r="AK58" s="94" t="n">
        <f aca="false">(AG58-AH58-AI58)/AJ58</f>
        <v>13529.7127211705</v>
      </c>
      <c r="AL58" s="67" t="n">
        <f aca="false">AG58-AH58-AI58-Benchmark*AJ58</f>
        <v>-258862.746683333</v>
      </c>
      <c r="AM58" s="82" t="n">
        <f aca="false">IF(AC58&gt;0,((Benchmark*AJ58+AI58)/(1-Commission)-AD58*AF58)/AC58,0)</f>
        <v>60.6764788564885</v>
      </c>
      <c r="AN58" s="67" t="n">
        <f aca="false">LOA_ft*Port_Tariffs!$C$9*IF((INDEX(Routes!$L$6:$L$9,$C58)*INDEX(Routes!$X$6:$X$9,$C58)*F58)&lt;=2,(INDEX(Routes!$L$6:$L$9,$C58)*INDEX(Routes!$X$6:$X$9,$C58)*F58),IF((INDEX(Routes!$L$6:$L$9,$C58)*INDEX(Routes!$X$6:$X$9,$C58)*F58)&lt;=3,2+0.9*((INDEX(Routes!$L$6:$L$9,$C58)*INDEX(Routes!$X$6:$X$9,$C58)*F58)-2),IF((INDEX(Routes!$L$6:$L$9,$C58)*INDEX(Routes!$X$6:$X$9,$C58)*F58)&lt;=4,2.9+0.75*((INDEX(Routes!$L$6:$L$9,$C58)*INDEX(Routes!$X$6:$X$9,$C58)*F58)-3),IF((INDEX(Routes!$L$6:$L$9,$C58)*INDEX(Routes!$X$6:$X$9,$C58)*F58)&lt;=5,3.65+0.6*((INDEX(Routes!$L$6:$L$9,$C58)*INDEX(Routes!$X$6:$X$9,$C58)*F58)-4),4.25+0.5*((INDEX(Routes!$L$6:$L$9,$C58)*INDEX(Routes!$X$6:$X$9,$C58)*F58)-5)))))</f>
        <v>26638.8</v>
      </c>
      <c r="AO58" s="67" t="n">
        <f aca="false">LOA_ft*Port_Tariffs!$C$9*IF((INDEX(Routes!$M$6:$M$9,$C58)*INDEX(Routes!$Y$6:$Y$9,$C58)*F58)&lt;=2,(INDEX(Routes!$M$6:$M$9,$C58)*INDEX(Routes!$Y$6:$Y$9,$C58)*F58),IF((INDEX(Routes!$M$6:$M$9,$C58)*INDEX(Routes!$Y$6:$Y$9,$C58)*F58)&lt;=3,2+0.9*((INDEX(Routes!$M$6:$M$9,$C58)*INDEX(Routes!$Y$6:$Y$9,$C58)*F58)-2),IF((INDEX(Routes!$M$6:$M$9,$C58)*INDEX(Routes!$Y$6:$Y$9,$C58)*F58)&lt;=4,2.9+0.75*((INDEX(Routes!$M$6:$M$9,$C58)*INDEX(Routes!$Y$6:$Y$9,$C58)*F58)-3),IF((INDEX(Routes!$M$6:$M$9,$C58)*INDEX(Routes!$Y$6:$Y$9,$C58)*F58)&lt;=5,3.65+0.6*((INDEX(Routes!$M$6:$M$9,$C58)*INDEX(Routes!$Y$6:$Y$9,$C58)*F58)-4),4.25+0.5*((INDEX(Routes!$M$6:$M$9,$C58)*INDEX(Routes!$Y$6:$Y$9,$C58)*F58)-5)))))</f>
        <v>0</v>
      </c>
    </row>
    <row r="59" customFormat="false" ht="15" hidden="false" customHeight="false" outlineLevel="0" collapsed="false">
      <c r="A59" s="2" t="s">
        <v>553</v>
      </c>
      <c r="B59" s="2" t="s">
        <v>536</v>
      </c>
      <c r="C59" s="16" t="n">
        <f aca="false">Sw_Route</f>
        <v>1</v>
      </c>
      <c r="D59" s="70" t="n">
        <v>130</v>
      </c>
      <c r="E59" s="88" t="n">
        <f aca="false">FreightMult</f>
        <v>1</v>
      </c>
      <c r="F59" s="92" t="n">
        <v>1.5</v>
      </c>
      <c r="G59" s="89" t="n">
        <f aca="false">UtilFH</f>
        <v>0.85</v>
      </c>
      <c r="H59" s="89" t="n">
        <f aca="false">UtilBH</f>
        <v>0.5</v>
      </c>
      <c r="I59" s="90" t="n">
        <f aca="false">Speed</f>
        <v>13.5</v>
      </c>
      <c r="J59" s="88" t="n">
        <f aca="false">PortCostMult</f>
        <v>1</v>
      </c>
      <c r="K59" s="90" t="n">
        <f aca="false">EUA</f>
        <v>75</v>
      </c>
      <c r="L59" s="71" t="n">
        <f aca="false">INDEX(Routes!$E$6:$E$9,$C59)</f>
        <v>5000</v>
      </c>
      <c r="M59" s="72" t="n">
        <f aca="false">INDEX(Routes!$F$6:$F$9,$C59)/L59</f>
        <v>0.13</v>
      </c>
      <c r="N59" s="77" t="n">
        <f aca="false">2*L59*(1+SeaMargin)/(I59*24)</f>
        <v>32.4074074074074</v>
      </c>
      <c r="O59" s="84" t="n">
        <f aca="false">(I59/RefSpeed)^SpeedExp</f>
        <v>1</v>
      </c>
      <c r="P59" s="2" t="n">
        <f aca="false">IF(H59&gt;0,1,0)</f>
        <v>1</v>
      </c>
      <c r="Q59" s="71" t="n">
        <f aca="false">N59/2*O59*(ConsLaden+IF(P59=1,ConsLaden,ConsBallast))</f>
        <v>875</v>
      </c>
      <c r="R59" s="71" t="n">
        <f aca="false">Q59*(1-M59)</f>
        <v>761.25</v>
      </c>
      <c r="S59" s="71" t="n">
        <f aca="false">Q59*M59</f>
        <v>113.75</v>
      </c>
      <c r="T59" s="2" t="n">
        <f aca="false">1+P59</f>
        <v>2</v>
      </c>
      <c r="U59" s="77" t="n">
        <f aca="false">INDEX(Routes!$L$6:$L$9,$C59)*T59*F59</f>
        <v>15</v>
      </c>
      <c r="V59" s="77" t="n">
        <f aca="false">INDEX(Routes!$M$6:$M$9,$C59)*T59*F59</f>
        <v>10.5</v>
      </c>
      <c r="W59" s="77" t="n">
        <f aca="false">INDEX(Routes!$H$6:$H$9,$C59)*2</f>
        <v>0</v>
      </c>
      <c r="X59" s="71" t="n">
        <f aca="false">(U59+V59+W59)*ConsPort</f>
        <v>153</v>
      </c>
      <c r="Y59" s="67" t="n">
        <f aca="false">R59*D59*VLSFO_Mult+(S59+X59)*D59*MGO_Mult</f>
        <v>1098383</v>
      </c>
      <c r="Z59" s="67" t="n">
        <f aca="false">(INDEX(Routes!$N$6:$N$9,$C59)+AN59+MIN(AC59*INDEX(Routes!$T$6:$T$9,$C59),INDEX(Routes!$V$6:$V$9,$C59))+INDEX(Routes!$O$6:$O$9,$C59)+AO59+MIN(AC59*INDEX(Routes!$U$6:$U$9,$C59),INDEX(Routes!$W$6:$W$9,$C59))+IF(P59=1,INDEX(Routes!$N$6:$N$9,$C59)+AN59+MIN(AD59*INDEX(Routes!$T$6:$T$9,$C59),INDEX(Routes!$V$6:$V$9,$C59))+INDEX(Routes!$O$6:$O$9,$C59)+AO59+MIN(AD59*INDEX(Routes!$U$6:$U$9,$C59),INDEX(Routes!$W$6:$W$9,$C59)),0))*J59</f>
        <v>266466.6096</v>
      </c>
      <c r="AA59" s="67" t="n">
        <f aca="false">INDEX(Routes!$R$6:$R$9,$C59)+IF(P59=1,INDEX(Routes!$R$6:$R$9,$C59),INDEX(Routes!$S$6:$S$9,$C59))</f>
        <v>0</v>
      </c>
      <c r="AB59" s="67" t="n">
        <f aca="false">((R59*CO2_VLSFO+S59*CO2_MGO)*INDEX(Routes!$I$6:$I$9,$C59)+(U59*INDEX(Routes!$P$6:$P$9,$C59)+V59*INDEX(Routes!$Q$6:$Q$9,$C59))*ConsPort*CO2_MGO)*PhaseIn*K59*FX</f>
        <v>129490.80375</v>
      </c>
      <c r="AC59" s="71" t="n">
        <f aca="false">Capacity*G59</f>
        <v>30600</v>
      </c>
      <c r="AD59" s="71" t="n">
        <f aca="false">Capacity*H59</f>
        <v>18000</v>
      </c>
      <c r="AE59" s="82" t="n">
        <f aca="false">INDEX(Routes!$J$6:$J$9,$C59)*E59</f>
        <v>52</v>
      </c>
      <c r="AF59" s="82" t="n">
        <f aca="false">INDEX(Routes!$K$6:$K$9,$C59)*E59</f>
        <v>38</v>
      </c>
      <c r="AG59" s="67" t="n">
        <f aca="false">AC59*AE59+AD59*AF59</f>
        <v>2275200</v>
      </c>
      <c r="AH59" s="67" t="n">
        <f aca="false">AG59*Commission</f>
        <v>56880</v>
      </c>
      <c r="AI59" s="67" t="n">
        <f aca="false">Y59+Z59+AA59+AB59+MiscVoy</f>
        <v>1519340.41335</v>
      </c>
      <c r="AJ59" s="77" t="n">
        <f aca="false">N59+U59+V59+W59</f>
        <v>57.9074074074074</v>
      </c>
      <c r="AK59" s="94" t="n">
        <f aca="false">(AG59-AH59-AI59)/AJ59</f>
        <v>12070.6420464023</v>
      </c>
      <c r="AL59" s="67" t="n">
        <f aca="false">AG59-AH59-AI59-Benchmark*AJ59</f>
        <v>-343353.746683333</v>
      </c>
      <c r="AM59" s="82" t="n">
        <f aca="false">IF(AC59&gt;0,((Benchmark*AJ59+AI59)/(1-Commission)-AD59*AF59)/AC59,0)</f>
        <v>63.5084212060779</v>
      </c>
      <c r="AN59" s="67" t="n">
        <f aca="false">LOA_ft*Port_Tariffs!$C$9*IF((INDEX(Routes!$L$6:$L$9,$C59)*INDEX(Routes!$X$6:$X$9,$C59)*F59)&lt;=2,(INDEX(Routes!$L$6:$L$9,$C59)*INDEX(Routes!$X$6:$X$9,$C59)*F59),IF((INDEX(Routes!$L$6:$L$9,$C59)*INDEX(Routes!$X$6:$X$9,$C59)*F59)&lt;=3,2+0.9*((INDEX(Routes!$L$6:$L$9,$C59)*INDEX(Routes!$X$6:$X$9,$C59)*F59)-2),IF((INDEX(Routes!$L$6:$L$9,$C59)*INDEX(Routes!$X$6:$X$9,$C59)*F59)&lt;=4,2.9+0.75*((INDEX(Routes!$L$6:$L$9,$C59)*INDEX(Routes!$X$6:$X$9,$C59)*F59)-3),IF((INDEX(Routes!$L$6:$L$9,$C59)*INDEX(Routes!$X$6:$X$9,$C59)*F59)&lt;=5,3.65+0.6*((INDEX(Routes!$L$6:$L$9,$C59)*INDEX(Routes!$X$6:$X$9,$C59)*F59)-4),4.25+0.5*((INDEX(Routes!$L$6:$L$9,$C59)*INDEX(Routes!$X$6:$X$9,$C59)*F59)-5)))))</f>
        <v>26638.8</v>
      </c>
      <c r="AO59" s="67" t="n">
        <f aca="false">LOA_ft*Port_Tariffs!$C$9*IF((INDEX(Routes!$M$6:$M$9,$C59)*INDEX(Routes!$Y$6:$Y$9,$C59)*F59)&lt;=2,(INDEX(Routes!$M$6:$M$9,$C59)*INDEX(Routes!$Y$6:$Y$9,$C59)*F59),IF((INDEX(Routes!$M$6:$M$9,$C59)*INDEX(Routes!$Y$6:$Y$9,$C59)*F59)&lt;=3,2+0.9*((INDEX(Routes!$M$6:$M$9,$C59)*INDEX(Routes!$Y$6:$Y$9,$C59)*F59)-2),IF((INDEX(Routes!$M$6:$M$9,$C59)*INDEX(Routes!$Y$6:$Y$9,$C59)*F59)&lt;=4,2.9+0.75*((INDEX(Routes!$M$6:$M$9,$C59)*INDEX(Routes!$Y$6:$Y$9,$C59)*F59)-3),IF((INDEX(Routes!$M$6:$M$9,$C59)*INDEX(Routes!$Y$6:$Y$9,$C59)*F59)&lt;=5,3.65+0.6*((INDEX(Routes!$M$6:$M$9,$C59)*INDEX(Routes!$Y$6:$Y$9,$C59)*F59)-4),4.25+0.5*((INDEX(Routes!$M$6:$M$9,$C59)*INDEX(Routes!$Y$6:$Y$9,$C59)*F59)-5)))))</f>
        <v>0</v>
      </c>
    </row>
    <row r="60" customFormat="false" ht="15" hidden="false" customHeight="false" outlineLevel="0" collapsed="false">
      <c r="A60" s="2" t="s">
        <v>554</v>
      </c>
      <c r="B60" s="2" t="s">
        <v>536</v>
      </c>
      <c r="C60" s="16" t="n">
        <f aca="false">Sw_Route</f>
        <v>1</v>
      </c>
      <c r="D60" s="70" t="n">
        <v>50</v>
      </c>
      <c r="E60" s="88" t="n">
        <f aca="false">FreightMult</f>
        <v>1</v>
      </c>
      <c r="F60" s="92" t="n">
        <v>2</v>
      </c>
      <c r="G60" s="89" t="n">
        <f aca="false">UtilFH</f>
        <v>0.85</v>
      </c>
      <c r="H60" s="89" t="n">
        <f aca="false">UtilBH</f>
        <v>0.5</v>
      </c>
      <c r="I60" s="90" t="n">
        <f aca="false">Speed</f>
        <v>13.5</v>
      </c>
      <c r="J60" s="88" t="n">
        <f aca="false">PortCostMult</f>
        <v>1</v>
      </c>
      <c r="K60" s="90" t="n">
        <f aca="false">EUA</f>
        <v>75</v>
      </c>
      <c r="L60" s="71" t="n">
        <f aca="false">INDEX(Routes!$E$6:$E$9,$C60)</f>
        <v>5000</v>
      </c>
      <c r="M60" s="72" t="n">
        <f aca="false">INDEX(Routes!$F$6:$F$9,$C60)/L60</f>
        <v>0.13</v>
      </c>
      <c r="N60" s="77" t="n">
        <f aca="false">2*L60*(1+SeaMargin)/(I60*24)</f>
        <v>32.4074074074074</v>
      </c>
      <c r="O60" s="84" t="n">
        <f aca="false">(I60/RefSpeed)^SpeedExp</f>
        <v>1</v>
      </c>
      <c r="P60" s="2" t="n">
        <f aca="false">IF(H60&gt;0,1,0)</f>
        <v>1</v>
      </c>
      <c r="Q60" s="71" t="n">
        <f aca="false">N60/2*O60*(ConsLaden+IF(P60=1,ConsLaden,ConsBallast))</f>
        <v>875</v>
      </c>
      <c r="R60" s="71" t="n">
        <f aca="false">Q60*(1-M60)</f>
        <v>761.25</v>
      </c>
      <c r="S60" s="71" t="n">
        <f aca="false">Q60*M60</f>
        <v>113.75</v>
      </c>
      <c r="T60" s="2" t="n">
        <f aca="false">1+P60</f>
        <v>2</v>
      </c>
      <c r="U60" s="77" t="n">
        <f aca="false">INDEX(Routes!$L$6:$L$9,$C60)*T60*F60</f>
        <v>20</v>
      </c>
      <c r="V60" s="77" t="n">
        <f aca="false">INDEX(Routes!$M$6:$M$9,$C60)*T60*F60</f>
        <v>14</v>
      </c>
      <c r="W60" s="77" t="n">
        <f aca="false">INDEX(Routes!$H$6:$H$9,$C60)*2</f>
        <v>0</v>
      </c>
      <c r="X60" s="71" t="n">
        <f aca="false">(U60+V60+W60)*ConsPort</f>
        <v>204</v>
      </c>
      <c r="Y60" s="67" t="n">
        <f aca="false">R60*D60*VLSFO_Mult+(S60+X60)*D60*MGO_Mult</f>
        <v>447190</v>
      </c>
      <c r="Z60" s="67" t="n">
        <f aca="false">(INDEX(Routes!$N$6:$N$9,$C60)+AN60+MIN(AC60*INDEX(Routes!$T$6:$T$9,$C60),INDEX(Routes!$V$6:$V$9,$C60))+INDEX(Routes!$O$6:$O$9,$C60)+AO60+MIN(AC60*INDEX(Routes!$U$6:$U$9,$C60),INDEX(Routes!$W$6:$W$9,$C60))+IF(P60=1,INDEX(Routes!$N$6:$N$9,$C60)+AN60+MIN(AD60*INDEX(Routes!$T$6:$T$9,$C60),INDEX(Routes!$V$6:$V$9,$C60))+INDEX(Routes!$O$6:$O$9,$C60)+AO60+MIN(AD60*INDEX(Routes!$U$6:$U$9,$C60),INDEX(Routes!$W$6:$W$9,$C60)),0))*J60</f>
        <v>277257.0096</v>
      </c>
      <c r="AA60" s="67" t="n">
        <f aca="false">INDEX(Routes!$R$6:$R$9,$C60)+IF(P60=1,INDEX(Routes!$R$6:$R$9,$C60),INDEX(Routes!$S$6:$S$9,$C60))</f>
        <v>0</v>
      </c>
      <c r="AB60" s="67" t="n">
        <f aca="false">((R60*CO2_VLSFO+S60*CO2_MGO)*INDEX(Routes!$I$6:$I$9,$C60)+(U60*INDEX(Routes!$P$6:$P$9,$C60)+V60*INDEX(Routes!$Q$6:$Q$9,$C60))*ConsPort*CO2_MGO)*PhaseIn*K60*FX</f>
        <v>135045.19875</v>
      </c>
      <c r="AC60" s="71" t="n">
        <f aca="false">Capacity*G60</f>
        <v>30600</v>
      </c>
      <c r="AD60" s="71" t="n">
        <f aca="false">Capacity*H60</f>
        <v>18000</v>
      </c>
      <c r="AE60" s="82" t="n">
        <f aca="false">INDEX(Routes!$J$6:$J$9,$C60)*E60</f>
        <v>52</v>
      </c>
      <c r="AF60" s="82" t="n">
        <f aca="false">INDEX(Routes!$K$6:$K$9,$C60)*E60</f>
        <v>38</v>
      </c>
      <c r="AG60" s="67" t="n">
        <f aca="false">AC60*AE60+AD60*AF60</f>
        <v>2275200</v>
      </c>
      <c r="AH60" s="67" t="n">
        <f aca="false">AG60*Commission</f>
        <v>56880</v>
      </c>
      <c r="AI60" s="67" t="n">
        <f aca="false">Y60+Z60+AA60+AB60+MiscVoy</f>
        <v>884492.20835</v>
      </c>
      <c r="AJ60" s="77" t="n">
        <f aca="false">N60+U60+V60+W60</f>
        <v>66.4074074074074</v>
      </c>
      <c r="AK60" s="94" t="n">
        <f aca="false">(AG60-AH60-AI60)/AJ60</f>
        <v>20085.5272585332</v>
      </c>
      <c r="AL60" s="67" t="n">
        <f aca="false">AG60-AH60-AI60-Benchmark*AJ60</f>
        <v>138494.458316667</v>
      </c>
      <c r="AM60" s="82" t="n">
        <f aca="false">IF(AC60&gt;0,((Benchmark*AJ60+AI60)/(1-Commission)-AD60*AF60)/AC60,0)</f>
        <v>47.357986984526</v>
      </c>
      <c r="AN60" s="67" t="n">
        <f aca="false">LOA_ft*Port_Tariffs!$C$9*IF((INDEX(Routes!$L$6:$L$9,$C60)*INDEX(Routes!$X$6:$X$9,$C60)*F60)&lt;=2,(INDEX(Routes!$L$6:$L$9,$C60)*INDEX(Routes!$X$6:$X$9,$C60)*F60),IF((INDEX(Routes!$L$6:$L$9,$C60)*INDEX(Routes!$X$6:$X$9,$C60)*F60)&lt;=3,2+0.9*((INDEX(Routes!$L$6:$L$9,$C60)*INDEX(Routes!$X$6:$X$9,$C60)*F60)-2),IF((INDEX(Routes!$L$6:$L$9,$C60)*INDEX(Routes!$X$6:$X$9,$C60)*F60)&lt;=4,2.9+0.75*((INDEX(Routes!$L$6:$L$9,$C60)*INDEX(Routes!$X$6:$X$9,$C60)*F60)-3),IF((INDEX(Routes!$L$6:$L$9,$C60)*INDEX(Routes!$X$6:$X$9,$C60)*F60)&lt;=5,3.65+0.6*((INDEX(Routes!$L$6:$L$9,$C60)*INDEX(Routes!$X$6:$X$9,$C60)*F60)-4),4.25+0.5*((INDEX(Routes!$L$6:$L$9,$C60)*INDEX(Routes!$X$6:$X$9,$C60)*F60)-5)))))</f>
        <v>32034</v>
      </c>
      <c r="AO60" s="67" t="n">
        <f aca="false">LOA_ft*Port_Tariffs!$C$9*IF((INDEX(Routes!$M$6:$M$9,$C60)*INDEX(Routes!$Y$6:$Y$9,$C60)*F60)&lt;=2,(INDEX(Routes!$M$6:$M$9,$C60)*INDEX(Routes!$Y$6:$Y$9,$C60)*F60),IF((INDEX(Routes!$M$6:$M$9,$C60)*INDEX(Routes!$Y$6:$Y$9,$C60)*F60)&lt;=3,2+0.9*((INDEX(Routes!$M$6:$M$9,$C60)*INDEX(Routes!$Y$6:$Y$9,$C60)*F60)-2),IF((INDEX(Routes!$M$6:$M$9,$C60)*INDEX(Routes!$Y$6:$Y$9,$C60)*F60)&lt;=4,2.9+0.75*((INDEX(Routes!$M$6:$M$9,$C60)*INDEX(Routes!$Y$6:$Y$9,$C60)*F60)-3),IF((INDEX(Routes!$M$6:$M$9,$C60)*INDEX(Routes!$Y$6:$Y$9,$C60)*F60)&lt;=5,3.65+0.6*((INDEX(Routes!$M$6:$M$9,$C60)*INDEX(Routes!$Y$6:$Y$9,$C60)*F60)-4),4.25+0.5*((INDEX(Routes!$M$6:$M$9,$C60)*INDEX(Routes!$Y$6:$Y$9,$C60)*F60)-5)))))</f>
        <v>0</v>
      </c>
    </row>
    <row r="61" customFormat="false" ht="15" hidden="false" customHeight="false" outlineLevel="0" collapsed="false">
      <c r="A61" s="2" t="s">
        <v>555</v>
      </c>
      <c r="B61" s="2" t="s">
        <v>536</v>
      </c>
      <c r="C61" s="16" t="n">
        <f aca="false">Sw_Route</f>
        <v>1</v>
      </c>
      <c r="D61" s="70" t="n">
        <v>60</v>
      </c>
      <c r="E61" s="88" t="n">
        <f aca="false">FreightMult</f>
        <v>1</v>
      </c>
      <c r="F61" s="92" t="n">
        <v>2</v>
      </c>
      <c r="G61" s="89" t="n">
        <f aca="false">UtilFH</f>
        <v>0.85</v>
      </c>
      <c r="H61" s="89" t="n">
        <f aca="false">UtilBH</f>
        <v>0.5</v>
      </c>
      <c r="I61" s="90" t="n">
        <f aca="false">Speed</f>
        <v>13.5</v>
      </c>
      <c r="J61" s="88" t="n">
        <f aca="false">PortCostMult</f>
        <v>1</v>
      </c>
      <c r="K61" s="90" t="n">
        <f aca="false">EUA</f>
        <v>75</v>
      </c>
      <c r="L61" s="71" t="n">
        <f aca="false">INDEX(Routes!$E$6:$E$9,$C61)</f>
        <v>5000</v>
      </c>
      <c r="M61" s="72" t="n">
        <f aca="false">INDEX(Routes!$F$6:$F$9,$C61)/L61</f>
        <v>0.13</v>
      </c>
      <c r="N61" s="77" t="n">
        <f aca="false">2*L61*(1+SeaMargin)/(I61*24)</f>
        <v>32.4074074074074</v>
      </c>
      <c r="O61" s="84" t="n">
        <f aca="false">(I61/RefSpeed)^SpeedExp</f>
        <v>1</v>
      </c>
      <c r="P61" s="2" t="n">
        <f aca="false">IF(H61&gt;0,1,0)</f>
        <v>1</v>
      </c>
      <c r="Q61" s="71" t="n">
        <f aca="false">N61/2*O61*(ConsLaden+IF(P61=1,ConsLaden,ConsBallast))</f>
        <v>875</v>
      </c>
      <c r="R61" s="71" t="n">
        <f aca="false">Q61*(1-M61)</f>
        <v>761.25</v>
      </c>
      <c r="S61" s="71" t="n">
        <f aca="false">Q61*M61</f>
        <v>113.75</v>
      </c>
      <c r="T61" s="2" t="n">
        <f aca="false">1+P61</f>
        <v>2</v>
      </c>
      <c r="U61" s="77" t="n">
        <f aca="false">INDEX(Routes!$L$6:$L$9,$C61)*T61*F61</f>
        <v>20</v>
      </c>
      <c r="V61" s="77" t="n">
        <f aca="false">INDEX(Routes!$M$6:$M$9,$C61)*T61*F61</f>
        <v>14</v>
      </c>
      <c r="W61" s="77" t="n">
        <f aca="false">INDEX(Routes!$H$6:$H$9,$C61)*2</f>
        <v>0</v>
      </c>
      <c r="X61" s="71" t="n">
        <f aca="false">(U61+V61+W61)*ConsPort</f>
        <v>204</v>
      </c>
      <c r="Y61" s="67" t="n">
        <f aca="false">R61*D61*VLSFO_Mult+(S61+X61)*D61*MGO_Mult</f>
        <v>536628</v>
      </c>
      <c r="Z61" s="67" t="n">
        <f aca="false">(INDEX(Routes!$N$6:$N$9,$C61)+AN61+MIN(AC61*INDEX(Routes!$T$6:$T$9,$C61),INDEX(Routes!$V$6:$V$9,$C61))+INDEX(Routes!$O$6:$O$9,$C61)+AO61+MIN(AC61*INDEX(Routes!$U$6:$U$9,$C61),INDEX(Routes!$W$6:$W$9,$C61))+IF(P61=1,INDEX(Routes!$N$6:$N$9,$C61)+AN61+MIN(AD61*INDEX(Routes!$T$6:$T$9,$C61),INDEX(Routes!$V$6:$V$9,$C61))+INDEX(Routes!$O$6:$O$9,$C61)+AO61+MIN(AD61*INDEX(Routes!$U$6:$U$9,$C61),INDEX(Routes!$W$6:$W$9,$C61)),0))*J61</f>
        <v>277257.0096</v>
      </c>
      <c r="AA61" s="67" t="n">
        <f aca="false">INDEX(Routes!$R$6:$R$9,$C61)+IF(P61=1,INDEX(Routes!$R$6:$R$9,$C61),INDEX(Routes!$S$6:$S$9,$C61))</f>
        <v>0</v>
      </c>
      <c r="AB61" s="67" t="n">
        <f aca="false">((R61*CO2_VLSFO+S61*CO2_MGO)*INDEX(Routes!$I$6:$I$9,$C61)+(U61*INDEX(Routes!$P$6:$P$9,$C61)+V61*INDEX(Routes!$Q$6:$Q$9,$C61))*ConsPort*CO2_MGO)*PhaseIn*K61*FX</f>
        <v>135045.19875</v>
      </c>
      <c r="AC61" s="71" t="n">
        <f aca="false">Capacity*G61</f>
        <v>30600</v>
      </c>
      <c r="AD61" s="71" t="n">
        <f aca="false">Capacity*H61</f>
        <v>18000</v>
      </c>
      <c r="AE61" s="82" t="n">
        <f aca="false">INDEX(Routes!$J$6:$J$9,$C61)*E61</f>
        <v>52</v>
      </c>
      <c r="AF61" s="82" t="n">
        <f aca="false">INDEX(Routes!$K$6:$K$9,$C61)*E61</f>
        <v>38</v>
      </c>
      <c r="AG61" s="67" t="n">
        <f aca="false">AC61*AE61+AD61*AF61</f>
        <v>2275200</v>
      </c>
      <c r="AH61" s="67" t="n">
        <f aca="false">AG61*Commission</f>
        <v>56880</v>
      </c>
      <c r="AI61" s="67" t="n">
        <f aca="false">Y61+Z61+AA61+AB61+MiscVoy</f>
        <v>973930.20835</v>
      </c>
      <c r="AJ61" s="77" t="n">
        <f aca="false">N61+U61+V61+W61</f>
        <v>66.4074074074074</v>
      </c>
      <c r="AK61" s="94" t="n">
        <f aca="false">(AG61-AH61-AI61)/AJ61</f>
        <v>18738.7196734802</v>
      </c>
      <c r="AL61" s="67" t="n">
        <f aca="false">AG61-AH61-AI61-Benchmark*AJ61</f>
        <v>49056.4583166668</v>
      </c>
      <c r="AM61" s="82" t="n">
        <f aca="false">IF(AC61&gt;0,((Benchmark*AJ61+AI61)/(1-Commission)-AD61*AF61)/AC61,0)</f>
        <v>50.3557412999274</v>
      </c>
      <c r="AN61" s="67" t="n">
        <f aca="false">LOA_ft*Port_Tariffs!$C$9*IF((INDEX(Routes!$L$6:$L$9,$C61)*INDEX(Routes!$X$6:$X$9,$C61)*F61)&lt;=2,(INDEX(Routes!$L$6:$L$9,$C61)*INDEX(Routes!$X$6:$X$9,$C61)*F61),IF((INDEX(Routes!$L$6:$L$9,$C61)*INDEX(Routes!$X$6:$X$9,$C61)*F61)&lt;=3,2+0.9*((INDEX(Routes!$L$6:$L$9,$C61)*INDEX(Routes!$X$6:$X$9,$C61)*F61)-2),IF((INDEX(Routes!$L$6:$L$9,$C61)*INDEX(Routes!$X$6:$X$9,$C61)*F61)&lt;=4,2.9+0.75*((INDEX(Routes!$L$6:$L$9,$C61)*INDEX(Routes!$X$6:$X$9,$C61)*F61)-3),IF((INDEX(Routes!$L$6:$L$9,$C61)*INDEX(Routes!$X$6:$X$9,$C61)*F61)&lt;=5,3.65+0.6*((INDEX(Routes!$L$6:$L$9,$C61)*INDEX(Routes!$X$6:$X$9,$C61)*F61)-4),4.25+0.5*((INDEX(Routes!$L$6:$L$9,$C61)*INDEX(Routes!$X$6:$X$9,$C61)*F61)-5)))))</f>
        <v>32034</v>
      </c>
      <c r="AO61" s="67" t="n">
        <f aca="false">LOA_ft*Port_Tariffs!$C$9*IF((INDEX(Routes!$M$6:$M$9,$C61)*INDEX(Routes!$Y$6:$Y$9,$C61)*F61)&lt;=2,(INDEX(Routes!$M$6:$M$9,$C61)*INDEX(Routes!$Y$6:$Y$9,$C61)*F61),IF((INDEX(Routes!$M$6:$M$9,$C61)*INDEX(Routes!$Y$6:$Y$9,$C61)*F61)&lt;=3,2+0.9*((INDEX(Routes!$M$6:$M$9,$C61)*INDEX(Routes!$Y$6:$Y$9,$C61)*F61)-2),IF((INDEX(Routes!$M$6:$M$9,$C61)*INDEX(Routes!$Y$6:$Y$9,$C61)*F61)&lt;=4,2.9+0.75*((INDEX(Routes!$M$6:$M$9,$C61)*INDEX(Routes!$Y$6:$Y$9,$C61)*F61)-3),IF((INDEX(Routes!$M$6:$M$9,$C61)*INDEX(Routes!$Y$6:$Y$9,$C61)*F61)&lt;=5,3.65+0.6*((INDEX(Routes!$M$6:$M$9,$C61)*INDEX(Routes!$Y$6:$Y$9,$C61)*F61)-4),4.25+0.5*((INDEX(Routes!$M$6:$M$9,$C61)*INDEX(Routes!$Y$6:$Y$9,$C61)*F61)-5)))))</f>
        <v>0</v>
      </c>
    </row>
    <row r="62" customFormat="false" ht="15" hidden="false" customHeight="false" outlineLevel="0" collapsed="false">
      <c r="A62" s="2" t="s">
        <v>556</v>
      </c>
      <c r="B62" s="2" t="s">
        <v>536</v>
      </c>
      <c r="C62" s="16" t="n">
        <f aca="false">Sw_Route</f>
        <v>1</v>
      </c>
      <c r="D62" s="70" t="n">
        <v>70</v>
      </c>
      <c r="E62" s="88" t="n">
        <f aca="false">FreightMult</f>
        <v>1</v>
      </c>
      <c r="F62" s="92" t="n">
        <v>2</v>
      </c>
      <c r="G62" s="89" t="n">
        <f aca="false">UtilFH</f>
        <v>0.85</v>
      </c>
      <c r="H62" s="89" t="n">
        <f aca="false">UtilBH</f>
        <v>0.5</v>
      </c>
      <c r="I62" s="90" t="n">
        <f aca="false">Speed</f>
        <v>13.5</v>
      </c>
      <c r="J62" s="88" t="n">
        <f aca="false">PortCostMult</f>
        <v>1</v>
      </c>
      <c r="K62" s="90" t="n">
        <f aca="false">EUA</f>
        <v>75</v>
      </c>
      <c r="L62" s="71" t="n">
        <f aca="false">INDEX(Routes!$E$6:$E$9,$C62)</f>
        <v>5000</v>
      </c>
      <c r="M62" s="72" t="n">
        <f aca="false">INDEX(Routes!$F$6:$F$9,$C62)/L62</f>
        <v>0.13</v>
      </c>
      <c r="N62" s="77" t="n">
        <f aca="false">2*L62*(1+SeaMargin)/(I62*24)</f>
        <v>32.4074074074074</v>
      </c>
      <c r="O62" s="84" t="n">
        <f aca="false">(I62/RefSpeed)^SpeedExp</f>
        <v>1</v>
      </c>
      <c r="P62" s="2" t="n">
        <f aca="false">IF(H62&gt;0,1,0)</f>
        <v>1</v>
      </c>
      <c r="Q62" s="71" t="n">
        <f aca="false">N62/2*O62*(ConsLaden+IF(P62=1,ConsLaden,ConsBallast))</f>
        <v>875</v>
      </c>
      <c r="R62" s="71" t="n">
        <f aca="false">Q62*(1-M62)</f>
        <v>761.25</v>
      </c>
      <c r="S62" s="71" t="n">
        <f aca="false">Q62*M62</f>
        <v>113.75</v>
      </c>
      <c r="T62" s="2" t="n">
        <f aca="false">1+P62</f>
        <v>2</v>
      </c>
      <c r="U62" s="77" t="n">
        <f aca="false">INDEX(Routes!$L$6:$L$9,$C62)*T62*F62</f>
        <v>20</v>
      </c>
      <c r="V62" s="77" t="n">
        <f aca="false">INDEX(Routes!$M$6:$M$9,$C62)*T62*F62</f>
        <v>14</v>
      </c>
      <c r="W62" s="77" t="n">
        <f aca="false">INDEX(Routes!$H$6:$H$9,$C62)*2</f>
        <v>0</v>
      </c>
      <c r="X62" s="71" t="n">
        <f aca="false">(U62+V62+W62)*ConsPort</f>
        <v>204</v>
      </c>
      <c r="Y62" s="67" t="n">
        <f aca="false">R62*D62*VLSFO_Mult+(S62+X62)*D62*MGO_Mult</f>
        <v>626066</v>
      </c>
      <c r="Z62" s="67" t="n">
        <f aca="false">(INDEX(Routes!$N$6:$N$9,$C62)+AN62+MIN(AC62*INDEX(Routes!$T$6:$T$9,$C62),INDEX(Routes!$V$6:$V$9,$C62))+INDEX(Routes!$O$6:$O$9,$C62)+AO62+MIN(AC62*INDEX(Routes!$U$6:$U$9,$C62),INDEX(Routes!$W$6:$W$9,$C62))+IF(P62=1,INDEX(Routes!$N$6:$N$9,$C62)+AN62+MIN(AD62*INDEX(Routes!$T$6:$T$9,$C62),INDEX(Routes!$V$6:$V$9,$C62))+INDEX(Routes!$O$6:$O$9,$C62)+AO62+MIN(AD62*INDEX(Routes!$U$6:$U$9,$C62),INDEX(Routes!$W$6:$W$9,$C62)),0))*J62</f>
        <v>277257.0096</v>
      </c>
      <c r="AA62" s="67" t="n">
        <f aca="false">INDEX(Routes!$R$6:$R$9,$C62)+IF(P62=1,INDEX(Routes!$R$6:$R$9,$C62),INDEX(Routes!$S$6:$S$9,$C62))</f>
        <v>0</v>
      </c>
      <c r="AB62" s="67" t="n">
        <f aca="false">((R62*CO2_VLSFO+S62*CO2_MGO)*INDEX(Routes!$I$6:$I$9,$C62)+(U62*INDEX(Routes!$P$6:$P$9,$C62)+V62*INDEX(Routes!$Q$6:$Q$9,$C62))*ConsPort*CO2_MGO)*PhaseIn*K62*FX</f>
        <v>135045.19875</v>
      </c>
      <c r="AC62" s="71" t="n">
        <f aca="false">Capacity*G62</f>
        <v>30600</v>
      </c>
      <c r="AD62" s="71" t="n">
        <f aca="false">Capacity*H62</f>
        <v>18000</v>
      </c>
      <c r="AE62" s="82" t="n">
        <f aca="false">INDEX(Routes!$J$6:$J$9,$C62)*E62</f>
        <v>52</v>
      </c>
      <c r="AF62" s="82" t="n">
        <f aca="false">INDEX(Routes!$K$6:$K$9,$C62)*E62</f>
        <v>38</v>
      </c>
      <c r="AG62" s="67" t="n">
        <f aca="false">AC62*AE62+AD62*AF62</f>
        <v>2275200</v>
      </c>
      <c r="AH62" s="67" t="n">
        <f aca="false">AG62*Commission</f>
        <v>56880</v>
      </c>
      <c r="AI62" s="67" t="n">
        <f aca="false">Y62+Z62+AA62+AB62+MiscVoy</f>
        <v>1063368.20835</v>
      </c>
      <c r="AJ62" s="77" t="n">
        <f aca="false">N62+U62+V62+W62</f>
        <v>66.4074074074074</v>
      </c>
      <c r="AK62" s="94" t="n">
        <f aca="false">(AG62-AH62-AI62)/AJ62</f>
        <v>17391.9120884272</v>
      </c>
      <c r="AL62" s="67" t="n">
        <f aca="false">AG62-AH62-AI62-Benchmark*AJ62</f>
        <v>-40381.5416833332</v>
      </c>
      <c r="AM62" s="82" t="n">
        <f aca="false">IF(AC62&gt;0,((Benchmark*AJ62+AI62)/(1-Commission)-AD62*AF62)/AC62,0)</f>
        <v>53.3534956153287</v>
      </c>
      <c r="AN62" s="67" t="n">
        <f aca="false">LOA_ft*Port_Tariffs!$C$9*IF((INDEX(Routes!$L$6:$L$9,$C62)*INDEX(Routes!$X$6:$X$9,$C62)*F62)&lt;=2,(INDEX(Routes!$L$6:$L$9,$C62)*INDEX(Routes!$X$6:$X$9,$C62)*F62),IF((INDEX(Routes!$L$6:$L$9,$C62)*INDEX(Routes!$X$6:$X$9,$C62)*F62)&lt;=3,2+0.9*((INDEX(Routes!$L$6:$L$9,$C62)*INDEX(Routes!$X$6:$X$9,$C62)*F62)-2),IF((INDEX(Routes!$L$6:$L$9,$C62)*INDEX(Routes!$X$6:$X$9,$C62)*F62)&lt;=4,2.9+0.75*((INDEX(Routes!$L$6:$L$9,$C62)*INDEX(Routes!$X$6:$X$9,$C62)*F62)-3),IF((INDEX(Routes!$L$6:$L$9,$C62)*INDEX(Routes!$X$6:$X$9,$C62)*F62)&lt;=5,3.65+0.6*((INDEX(Routes!$L$6:$L$9,$C62)*INDEX(Routes!$X$6:$X$9,$C62)*F62)-4),4.25+0.5*((INDEX(Routes!$L$6:$L$9,$C62)*INDEX(Routes!$X$6:$X$9,$C62)*F62)-5)))))</f>
        <v>32034</v>
      </c>
      <c r="AO62" s="67" t="n">
        <f aca="false">LOA_ft*Port_Tariffs!$C$9*IF((INDEX(Routes!$M$6:$M$9,$C62)*INDEX(Routes!$Y$6:$Y$9,$C62)*F62)&lt;=2,(INDEX(Routes!$M$6:$M$9,$C62)*INDEX(Routes!$Y$6:$Y$9,$C62)*F62),IF((INDEX(Routes!$M$6:$M$9,$C62)*INDEX(Routes!$Y$6:$Y$9,$C62)*F62)&lt;=3,2+0.9*((INDEX(Routes!$M$6:$M$9,$C62)*INDEX(Routes!$Y$6:$Y$9,$C62)*F62)-2),IF((INDEX(Routes!$M$6:$M$9,$C62)*INDEX(Routes!$Y$6:$Y$9,$C62)*F62)&lt;=4,2.9+0.75*((INDEX(Routes!$M$6:$M$9,$C62)*INDEX(Routes!$Y$6:$Y$9,$C62)*F62)-3),IF((INDEX(Routes!$M$6:$M$9,$C62)*INDEX(Routes!$Y$6:$Y$9,$C62)*F62)&lt;=5,3.65+0.6*((INDEX(Routes!$M$6:$M$9,$C62)*INDEX(Routes!$Y$6:$Y$9,$C62)*F62)-4),4.25+0.5*((INDEX(Routes!$M$6:$M$9,$C62)*INDEX(Routes!$Y$6:$Y$9,$C62)*F62)-5)))))</f>
        <v>0</v>
      </c>
    </row>
    <row r="63" customFormat="false" ht="15" hidden="false" customHeight="false" outlineLevel="0" collapsed="false">
      <c r="A63" s="2" t="s">
        <v>557</v>
      </c>
      <c r="B63" s="2" t="s">
        <v>536</v>
      </c>
      <c r="C63" s="16" t="n">
        <f aca="false">Sw_Route</f>
        <v>1</v>
      </c>
      <c r="D63" s="70" t="n">
        <v>80</v>
      </c>
      <c r="E63" s="88" t="n">
        <f aca="false">FreightMult</f>
        <v>1</v>
      </c>
      <c r="F63" s="92" t="n">
        <v>2</v>
      </c>
      <c r="G63" s="89" t="n">
        <f aca="false">UtilFH</f>
        <v>0.85</v>
      </c>
      <c r="H63" s="89" t="n">
        <f aca="false">UtilBH</f>
        <v>0.5</v>
      </c>
      <c r="I63" s="90" t="n">
        <f aca="false">Speed</f>
        <v>13.5</v>
      </c>
      <c r="J63" s="88" t="n">
        <f aca="false">PortCostMult</f>
        <v>1</v>
      </c>
      <c r="K63" s="90" t="n">
        <f aca="false">EUA</f>
        <v>75</v>
      </c>
      <c r="L63" s="71" t="n">
        <f aca="false">INDEX(Routes!$E$6:$E$9,$C63)</f>
        <v>5000</v>
      </c>
      <c r="M63" s="72" t="n">
        <f aca="false">INDEX(Routes!$F$6:$F$9,$C63)/L63</f>
        <v>0.13</v>
      </c>
      <c r="N63" s="77" t="n">
        <f aca="false">2*L63*(1+SeaMargin)/(I63*24)</f>
        <v>32.4074074074074</v>
      </c>
      <c r="O63" s="84" t="n">
        <f aca="false">(I63/RefSpeed)^SpeedExp</f>
        <v>1</v>
      </c>
      <c r="P63" s="2" t="n">
        <f aca="false">IF(H63&gt;0,1,0)</f>
        <v>1</v>
      </c>
      <c r="Q63" s="71" t="n">
        <f aca="false">N63/2*O63*(ConsLaden+IF(P63=1,ConsLaden,ConsBallast))</f>
        <v>875</v>
      </c>
      <c r="R63" s="71" t="n">
        <f aca="false">Q63*(1-M63)</f>
        <v>761.25</v>
      </c>
      <c r="S63" s="71" t="n">
        <f aca="false">Q63*M63</f>
        <v>113.75</v>
      </c>
      <c r="T63" s="2" t="n">
        <f aca="false">1+P63</f>
        <v>2</v>
      </c>
      <c r="U63" s="77" t="n">
        <f aca="false">INDEX(Routes!$L$6:$L$9,$C63)*T63*F63</f>
        <v>20</v>
      </c>
      <c r="V63" s="77" t="n">
        <f aca="false">INDEX(Routes!$M$6:$M$9,$C63)*T63*F63</f>
        <v>14</v>
      </c>
      <c r="W63" s="77" t="n">
        <f aca="false">INDEX(Routes!$H$6:$H$9,$C63)*2</f>
        <v>0</v>
      </c>
      <c r="X63" s="71" t="n">
        <f aca="false">(U63+V63+W63)*ConsPort</f>
        <v>204</v>
      </c>
      <c r="Y63" s="67" t="n">
        <f aca="false">R63*D63*VLSFO_Mult+(S63+X63)*D63*MGO_Mult</f>
        <v>715504</v>
      </c>
      <c r="Z63" s="67" t="n">
        <f aca="false">(INDEX(Routes!$N$6:$N$9,$C63)+AN63+MIN(AC63*INDEX(Routes!$T$6:$T$9,$C63),INDEX(Routes!$V$6:$V$9,$C63))+INDEX(Routes!$O$6:$O$9,$C63)+AO63+MIN(AC63*INDEX(Routes!$U$6:$U$9,$C63),INDEX(Routes!$W$6:$W$9,$C63))+IF(P63=1,INDEX(Routes!$N$6:$N$9,$C63)+AN63+MIN(AD63*INDEX(Routes!$T$6:$T$9,$C63),INDEX(Routes!$V$6:$V$9,$C63))+INDEX(Routes!$O$6:$O$9,$C63)+AO63+MIN(AD63*INDEX(Routes!$U$6:$U$9,$C63),INDEX(Routes!$W$6:$W$9,$C63)),0))*J63</f>
        <v>277257.0096</v>
      </c>
      <c r="AA63" s="67" t="n">
        <f aca="false">INDEX(Routes!$R$6:$R$9,$C63)+IF(P63=1,INDEX(Routes!$R$6:$R$9,$C63),INDEX(Routes!$S$6:$S$9,$C63))</f>
        <v>0</v>
      </c>
      <c r="AB63" s="67" t="n">
        <f aca="false">((R63*CO2_VLSFO+S63*CO2_MGO)*INDEX(Routes!$I$6:$I$9,$C63)+(U63*INDEX(Routes!$P$6:$P$9,$C63)+V63*INDEX(Routes!$Q$6:$Q$9,$C63))*ConsPort*CO2_MGO)*PhaseIn*K63*FX</f>
        <v>135045.19875</v>
      </c>
      <c r="AC63" s="71" t="n">
        <f aca="false">Capacity*G63</f>
        <v>30600</v>
      </c>
      <c r="AD63" s="71" t="n">
        <f aca="false">Capacity*H63</f>
        <v>18000</v>
      </c>
      <c r="AE63" s="82" t="n">
        <f aca="false">INDEX(Routes!$J$6:$J$9,$C63)*E63</f>
        <v>52</v>
      </c>
      <c r="AF63" s="82" t="n">
        <f aca="false">INDEX(Routes!$K$6:$K$9,$C63)*E63</f>
        <v>38</v>
      </c>
      <c r="AG63" s="67" t="n">
        <f aca="false">AC63*AE63+AD63*AF63</f>
        <v>2275200</v>
      </c>
      <c r="AH63" s="67" t="n">
        <f aca="false">AG63*Commission</f>
        <v>56880</v>
      </c>
      <c r="AI63" s="67" t="n">
        <f aca="false">Y63+Z63+AA63+AB63+MiscVoy</f>
        <v>1152806.20835</v>
      </c>
      <c r="AJ63" s="77" t="n">
        <f aca="false">N63+U63+V63+W63</f>
        <v>66.4074074074074</v>
      </c>
      <c r="AK63" s="94" t="n">
        <f aca="false">(AG63-AH63-AI63)/AJ63</f>
        <v>16045.1045033742</v>
      </c>
      <c r="AL63" s="67" t="n">
        <f aca="false">AG63-AH63-AI63-Benchmark*AJ63</f>
        <v>-129819.541683333</v>
      </c>
      <c r="AM63" s="82" t="n">
        <f aca="false">IF(AC63&gt;0,((Benchmark*AJ63+AI63)/(1-Commission)-AD63*AF63)/AC63,0)</f>
        <v>56.3512499307301</v>
      </c>
      <c r="AN63" s="67" t="n">
        <f aca="false">LOA_ft*Port_Tariffs!$C$9*IF((INDEX(Routes!$L$6:$L$9,$C63)*INDEX(Routes!$X$6:$X$9,$C63)*F63)&lt;=2,(INDEX(Routes!$L$6:$L$9,$C63)*INDEX(Routes!$X$6:$X$9,$C63)*F63),IF((INDEX(Routes!$L$6:$L$9,$C63)*INDEX(Routes!$X$6:$X$9,$C63)*F63)&lt;=3,2+0.9*((INDEX(Routes!$L$6:$L$9,$C63)*INDEX(Routes!$X$6:$X$9,$C63)*F63)-2),IF((INDEX(Routes!$L$6:$L$9,$C63)*INDEX(Routes!$X$6:$X$9,$C63)*F63)&lt;=4,2.9+0.75*((INDEX(Routes!$L$6:$L$9,$C63)*INDEX(Routes!$X$6:$X$9,$C63)*F63)-3),IF((INDEX(Routes!$L$6:$L$9,$C63)*INDEX(Routes!$X$6:$X$9,$C63)*F63)&lt;=5,3.65+0.6*((INDEX(Routes!$L$6:$L$9,$C63)*INDEX(Routes!$X$6:$X$9,$C63)*F63)-4),4.25+0.5*((INDEX(Routes!$L$6:$L$9,$C63)*INDEX(Routes!$X$6:$X$9,$C63)*F63)-5)))))</f>
        <v>32034</v>
      </c>
      <c r="AO63" s="67" t="n">
        <f aca="false">LOA_ft*Port_Tariffs!$C$9*IF((INDEX(Routes!$M$6:$M$9,$C63)*INDEX(Routes!$Y$6:$Y$9,$C63)*F63)&lt;=2,(INDEX(Routes!$M$6:$M$9,$C63)*INDEX(Routes!$Y$6:$Y$9,$C63)*F63),IF((INDEX(Routes!$M$6:$M$9,$C63)*INDEX(Routes!$Y$6:$Y$9,$C63)*F63)&lt;=3,2+0.9*((INDEX(Routes!$M$6:$M$9,$C63)*INDEX(Routes!$Y$6:$Y$9,$C63)*F63)-2),IF((INDEX(Routes!$M$6:$M$9,$C63)*INDEX(Routes!$Y$6:$Y$9,$C63)*F63)&lt;=4,2.9+0.75*((INDEX(Routes!$M$6:$M$9,$C63)*INDEX(Routes!$Y$6:$Y$9,$C63)*F63)-3),IF((INDEX(Routes!$M$6:$M$9,$C63)*INDEX(Routes!$Y$6:$Y$9,$C63)*F63)&lt;=5,3.65+0.6*((INDEX(Routes!$M$6:$M$9,$C63)*INDEX(Routes!$Y$6:$Y$9,$C63)*F63)-4),4.25+0.5*((INDEX(Routes!$M$6:$M$9,$C63)*INDEX(Routes!$Y$6:$Y$9,$C63)*F63)-5)))))</f>
        <v>0</v>
      </c>
    </row>
    <row r="64" customFormat="false" ht="15" hidden="false" customHeight="false" outlineLevel="0" collapsed="false">
      <c r="A64" s="2" t="s">
        <v>558</v>
      </c>
      <c r="B64" s="2" t="s">
        <v>536</v>
      </c>
      <c r="C64" s="16" t="n">
        <f aca="false">Sw_Route</f>
        <v>1</v>
      </c>
      <c r="D64" s="70" t="n">
        <v>90</v>
      </c>
      <c r="E64" s="88" t="n">
        <f aca="false">FreightMult</f>
        <v>1</v>
      </c>
      <c r="F64" s="92" t="n">
        <v>2</v>
      </c>
      <c r="G64" s="89" t="n">
        <f aca="false">UtilFH</f>
        <v>0.85</v>
      </c>
      <c r="H64" s="89" t="n">
        <f aca="false">UtilBH</f>
        <v>0.5</v>
      </c>
      <c r="I64" s="90" t="n">
        <f aca="false">Speed</f>
        <v>13.5</v>
      </c>
      <c r="J64" s="88" t="n">
        <f aca="false">PortCostMult</f>
        <v>1</v>
      </c>
      <c r="K64" s="90" t="n">
        <f aca="false">EUA</f>
        <v>75</v>
      </c>
      <c r="L64" s="71" t="n">
        <f aca="false">INDEX(Routes!$E$6:$E$9,$C64)</f>
        <v>5000</v>
      </c>
      <c r="M64" s="72" t="n">
        <f aca="false">INDEX(Routes!$F$6:$F$9,$C64)/L64</f>
        <v>0.13</v>
      </c>
      <c r="N64" s="77" t="n">
        <f aca="false">2*L64*(1+SeaMargin)/(I64*24)</f>
        <v>32.4074074074074</v>
      </c>
      <c r="O64" s="84" t="n">
        <f aca="false">(I64/RefSpeed)^SpeedExp</f>
        <v>1</v>
      </c>
      <c r="P64" s="2" t="n">
        <f aca="false">IF(H64&gt;0,1,0)</f>
        <v>1</v>
      </c>
      <c r="Q64" s="71" t="n">
        <f aca="false">N64/2*O64*(ConsLaden+IF(P64=1,ConsLaden,ConsBallast))</f>
        <v>875</v>
      </c>
      <c r="R64" s="71" t="n">
        <f aca="false">Q64*(1-M64)</f>
        <v>761.25</v>
      </c>
      <c r="S64" s="71" t="n">
        <f aca="false">Q64*M64</f>
        <v>113.75</v>
      </c>
      <c r="T64" s="2" t="n">
        <f aca="false">1+P64</f>
        <v>2</v>
      </c>
      <c r="U64" s="77" t="n">
        <f aca="false">INDEX(Routes!$L$6:$L$9,$C64)*T64*F64</f>
        <v>20</v>
      </c>
      <c r="V64" s="77" t="n">
        <f aca="false">INDEX(Routes!$M$6:$M$9,$C64)*T64*F64</f>
        <v>14</v>
      </c>
      <c r="W64" s="77" t="n">
        <f aca="false">INDEX(Routes!$H$6:$H$9,$C64)*2</f>
        <v>0</v>
      </c>
      <c r="X64" s="71" t="n">
        <f aca="false">(U64+V64+W64)*ConsPort</f>
        <v>204</v>
      </c>
      <c r="Y64" s="67" t="n">
        <f aca="false">R64*D64*VLSFO_Mult+(S64+X64)*D64*MGO_Mult</f>
        <v>804942</v>
      </c>
      <c r="Z64" s="67" t="n">
        <f aca="false">(INDEX(Routes!$N$6:$N$9,$C64)+AN64+MIN(AC64*INDEX(Routes!$T$6:$T$9,$C64),INDEX(Routes!$V$6:$V$9,$C64))+INDEX(Routes!$O$6:$O$9,$C64)+AO64+MIN(AC64*INDEX(Routes!$U$6:$U$9,$C64),INDEX(Routes!$W$6:$W$9,$C64))+IF(P64=1,INDEX(Routes!$N$6:$N$9,$C64)+AN64+MIN(AD64*INDEX(Routes!$T$6:$T$9,$C64),INDEX(Routes!$V$6:$V$9,$C64))+INDEX(Routes!$O$6:$O$9,$C64)+AO64+MIN(AD64*INDEX(Routes!$U$6:$U$9,$C64),INDEX(Routes!$W$6:$W$9,$C64)),0))*J64</f>
        <v>277257.0096</v>
      </c>
      <c r="AA64" s="67" t="n">
        <f aca="false">INDEX(Routes!$R$6:$R$9,$C64)+IF(P64=1,INDEX(Routes!$R$6:$R$9,$C64),INDEX(Routes!$S$6:$S$9,$C64))</f>
        <v>0</v>
      </c>
      <c r="AB64" s="67" t="n">
        <f aca="false">((R64*CO2_VLSFO+S64*CO2_MGO)*INDEX(Routes!$I$6:$I$9,$C64)+(U64*INDEX(Routes!$P$6:$P$9,$C64)+V64*INDEX(Routes!$Q$6:$Q$9,$C64))*ConsPort*CO2_MGO)*PhaseIn*K64*FX</f>
        <v>135045.19875</v>
      </c>
      <c r="AC64" s="71" t="n">
        <f aca="false">Capacity*G64</f>
        <v>30600</v>
      </c>
      <c r="AD64" s="71" t="n">
        <f aca="false">Capacity*H64</f>
        <v>18000</v>
      </c>
      <c r="AE64" s="82" t="n">
        <f aca="false">INDEX(Routes!$J$6:$J$9,$C64)*E64</f>
        <v>52</v>
      </c>
      <c r="AF64" s="82" t="n">
        <f aca="false">INDEX(Routes!$K$6:$K$9,$C64)*E64</f>
        <v>38</v>
      </c>
      <c r="AG64" s="67" t="n">
        <f aca="false">AC64*AE64+AD64*AF64</f>
        <v>2275200</v>
      </c>
      <c r="AH64" s="67" t="n">
        <f aca="false">AG64*Commission</f>
        <v>56880</v>
      </c>
      <c r="AI64" s="67" t="n">
        <f aca="false">Y64+Z64+AA64+AB64+MiscVoy</f>
        <v>1242244.20835</v>
      </c>
      <c r="AJ64" s="77" t="n">
        <f aca="false">N64+U64+V64+W64</f>
        <v>66.4074074074074</v>
      </c>
      <c r="AK64" s="94" t="n">
        <f aca="false">(AG64-AH64-AI64)/AJ64</f>
        <v>14698.2969183213</v>
      </c>
      <c r="AL64" s="67" t="n">
        <f aca="false">AG64-AH64-AI64-Benchmark*AJ64</f>
        <v>-219257.541683333</v>
      </c>
      <c r="AM64" s="82" t="n">
        <f aca="false">IF(AC64&gt;0,((Benchmark*AJ64+AI64)/(1-Commission)-AD64*AF64)/AC64,0)</f>
        <v>59.3490042461315</v>
      </c>
      <c r="AN64" s="67" t="n">
        <f aca="false">LOA_ft*Port_Tariffs!$C$9*IF((INDEX(Routes!$L$6:$L$9,$C64)*INDEX(Routes!$X$6:$X$9,$C64)*F64)&lt;=2,(INDEX(Routes!$L$6:$L$9,$C64)*INDEX(Routes!$X$6:$X$9,$C64)*F64),IF((INDEX(Routes!$L$6:$L$9,$C64)*INDEX(Routes!$X$6:$X$9,$C64)*F64)&lt;=3,2+0.9*((INDEX(Routes!$L$6:$L$9,$C64)*INDEX(Routes!$X$6:$X$9,$C64)*F64)-2),IF((INDEX(Routes!$L$6:$L$9,$C64)*INDEX(Routes!$X$6:$X$9,$C64)*F64)&lt;=4,2.9+0.75*((INDEX(Routes!$L$6:$L$9,$C64)*INDEX(Routes!$X$6:$X$9,$C64)*F64)-3),IF((INDEX(Routes!$L$6:$L$9,$C64)*INDEX(Routes!$X$6:$X$9,$C64)*F64)&lt;=5,3.65+0.6*((INDEX(Routes!$L$6:$L$9,$C64)*INDEX(Routes!$X$6:$X$9,$C64)*F64)-4),4.25+0.5*((INDEX(Routes!$L$6:$L$9,$C64)*INDEX(Routes!$X$6:$X$9,$C64)*F64)-5)))))</f>
        <v>32034</v>
      </c>
      <c r="AO64" s="67" t="n">
        <f aca="false">LOA_ft*Port_Tariffs!$C$9*IF((INDEX(Routes!$M$6:$M$9,$C64)*INDEX(Routes!$Y$6:$Y$9,$C64)*F64)&lt;=2,(INDEX(Routes!$M$6:$M$9,$C64)*INDEX(Routes!$Y$6:$Y$9,$C64)*F64),IF((INDEX(Routes!$M$6:$M$9,$C64)*INDEX(Routes!$Y$6:$Y$9,$C64)*F64)&lt;=3,2+0.9*((INDEX(Routes!$M$6:$M$9,$C64)*INDEX(Routes!$Y$6:$Y$9,$C64)*F64)-2),IF((INDEX(Routes!$M$6:$M$9,$C64)*INDEX(Routes!$Y$6:$Y$9,$C64)*F64)&lt;=4,2.9+0.75*((INDEX(Routes!$M$6:$M$9,$C64)*INDEX(Routes!$Y$6:$Y$9,$C64)*F64)-3),IF((INDEX(Routes!$M$6:$M$9,$C64)*INDEX(Routes!$Y$6:$Y$9,$C64)*F64)&lt;=5,3.65+0.6*((INDEX(Routes!$M$6:$M$9,$C64)*INDEX(Routes!$Y$6:$Y$9,$C64)*F64)-4),4.25+0.5*((INDEX(Routes!$M$6:$M$9,$C64)*INDEX(Routes!$Y$6:$Y$9,$C64)*F64)-5)))))</f>
        <v>0</v>
      </c>
    </row>
    <row r="65" customFormat="false" ht="15" hidden="false" customHeight="false" outlineLevel="0" collapsed="false">
      <c r="A65" s="2" t="s">
        <v>559</v>
      </c>
      <c r="B65" s="2" t="s">
        <v>536</v>
      </c>
      <c r="C65" s="16" t="n">
        <f aca="false">Sw_Route</f>
        <v>1</v>
      </c>
      <c r="D65" s="70" t="n">
        <v>100</v>
      </c>
      <c r="E65" s="88" t="n">
        <f aca="false">FreightMult</f>
        <v>1</v>
      </c>
      <c r="F65" s="92" t="n">
        <v>2</v>
      </c>
      <c r="G65" s="89" t="n">
        <f aca="false">UtilFH</f>
        <v>0.85</v>
      </c>
      <c r="H65" s="89" t="n">
        <f aca="false">UtilBH</f>
        <v>0.5</v>
      </c>
      <c r="I65" s="90" t="n">
        <f aca="false">Speed</f>
        <v>13.5</v>
      </c>
      <c r="J65" s="88" t="n">
        <f aca="false">PortCostMult</f>
        <v>1</v>
      </c>
      <c r="K65" s="90" t="n">
        <f aca="false">EUA</f>
        <v>75</v>
      </c>
      <c r="L65" s="71" t="n">
        <f aca="false">INDEX(Routes!$E$6:$E$9,$C65)</f>
        <v>5000</v>
      </c>
      <c r="M65" s="72" t="n">
        <f aca="false">INDEX(Routes!$F$6:$F$9,$C65)/L65</f>
        <v>0.13</v>
      </c>
      <c r="N65" s="77" t="n">
        <f aca="false">2*L65*(1+SeaMargin)/(I65*24)</f>
        <v>32.4074074074074</v>
      </c>
      <c r="O65" s="84" t="n">
        <f aca="false">(I65/RefSpeed)^SpeedExp</f>
        <v>1</v>
      </c>
      <c r="P65" s="2" t="n">
        <f aca="false">IF(H65&gt;0,1,0)</f>
        <v>1</v>
      </c>
      <c r="Q65" s="71" t="n">
        <f aca="false">N65/2*O65*(ConsLaden+IF(P65=1,ConsLaden,ConsBallast))</f>
        <v>875</v>
      </c>
      <c r="R65" s="71" t="n">
        <f aca="false">Q65*(1-M65)</f>
        <v>761.25</v>
      </c>
      <c r="S65" s="71" t="n">
        <f aca="false">Q65*M65</f>
        <v>113.75</v>
      </c>
      <c r="T65" s="2" t="n">
        <f aca="false">1+P65</f>
        <v>2</v>
      </c>
      <c r="U65" s="77" t="n">
        <f aca="false">INDEX(Routes!$L$6:$L$9,$C65)*T65*F65</f>
        <v>20</v>
      </c>
      <c r="V65" s="77" t="n">
        <f aca="false">INDEX(Routes!$M$6:$M$9,$C65)*T65*F65</f>
        <v>14</v>
      </c>
      <c r="W65" s="77" t="n">
        <f aca="false">INDEX(Routes!$H$6:$H$9,$C65)*2</f>
        <v>0</v>
      </c>
      <c r="X65" s="71" t="n">
        <f aca="false">(U65+V65+W65)*ConsPort</f>
        <v>204</v>
      </c>
      <c r="Y65" s="67" t="n">
        <f aca="false">R65*D65*VLSFO_Mult+(S65+X65)*D65*MGO_Mult</f>
        <v>894380</v>
      </c>
      <c r="Z65" s="67" t="n">
        <f aca="false">(INDEX(Routes!$N$6:$N$9,$C65)+AN65+MIN(AC65*INDEX(Routes!$T$6:$T$9,$C65),INDEX(Routes!$V$6:$V$9,$C65))+INDEX(Routes!$O$6:$O$9,$C65)+AO65+MIN(AC65*INDEX(Routes!$U$6:$U$9,$C65),INDEX(Routes!$W$6:$W$9,$C65))+IF(P65=1,INDEX(Routes!$N$6:$N$9,$C65)+AN65+MIN(AD65*INDEX(Routes!$T$6:$T$9,$C65),INDEX(Routes!$V$6:$V$9,$C65))+INDEX(Routes!$O$6:$O$9,$C65)+AO65+MIN(AD65*INDEX(Routes!$U$6:$U$9,$C65),INDEX(Routes!$W$6:$W$9,$C65)),0))*J65</f>
        <v>277257.0096</v>
      </c>
      <c r="AA65" s="67" t="n">
        <f aca="false">INDEX(Routes!$R$6:$R$9,$C65)+IF(P65=1,INDEX(Routes!$R$6:$R$9,$C65),INDEX(Routes!$S$6:$S$9,$C65))</f>
        <v>0</v>
      </c>
      <c r="AB65" s="67" t="n">
        <f aca="false">((R65*CO2_VLSFO+S65*CO2_MGO)*INDEX(Routes!$I$6:$I$9,$C65)+(U65*INDEX(Routes!$P$6:$P$9,$C65)+V65*INDEX(Routes!$Q$6:$Q$9,$C65))*ConsPort*CO2_MGO)*PhaseIn*K65*FX</f>
        <v>135045.19875</v>
      </c>
      <c r="AC65" s="71" t="n">
        <f aca="false">Capacity*G65</f>
        <v>30600</v>
      </c>
      <c r="AD65" s="71" t="n">
        <f aca="false">Capacity*H65</f>
        <v>18000</v>
      </c>
      <c r="AE65" s="82" t="n">
        <f aca="false">INDEX(Routes!$J$6:$J$9,$C65)*E65</f>
        <v>52</v>
      </c>
      <c r="AF65" s="82" t="n">
        <f aca="false">INDEX(Routes!$K$6:$K$9,$C65)*E65</f>
        <v>38</v>
      </c>
      <c r="AG65" s="67" t="n">
        <f aca="false">AC65*AE65+AD65*AF65</f>
        <v>2275200</v>
      </c>
      <c r="AH65" s="67" t="n">
        <f aca="false">AG65*Commission</f>
        <v>56880</v>
      </c>
      <c r="AI65" s="67" t="n">
        <f aca="false">Y65+Z65+AA65+AB65+MiscVoy</f>
        <v>1331682.20835</v>
      </c>
      <c r="AJ65" s="77" t="n">
        <f aca="false">N65+U65+V65+W65</f>
        <v>66.4074074074074</v>
      </c>
      <c r="AK65" s="94" t="n">
        <f aca="false">(AG65-AH65-AI65)/AJ65</f>
        <v>13351.4893332683</v>
      </c>
      <c r="AL65" s="67" t="n">
        <f aca="false">AG65-AH65-AI65-Benchmark*AJ65</f>
        <v>-308695.541683333</v>
      </c>
      <c r="AM65" s="82" t="n">
        <f aca="false">IF(AC65&gt;0,((Benchmark*AJ65+AI65)/(1-Commission)-AD65*AF65)/AC65,0)</f>
        <v>62.3467585615329</v>
      </c>
      <c r="AN65" s="67" t="n">
        <f aca="false">LOA_ft*Port_Tariffs!$C$9*IF((INDEX(Routes!$L$6:$L$9,$C65)*INDEX(Routes!$X$6:$X$9,$C65)*F65)&lt;=2,(INDEX(Routes!$L$6:$L$9,$C65)*INDEX(Routes!$X$6:$X$9,$C65)*F65),IF((INDEX(Routes!$L$6:$L$9,$C65)*INDEX(Routes!$X$6:$X$9,$C65)*F65)&lt;=3,2+0.9*((INDEX(Routes!$L$6:$L$9,$C65)*INDEX(Routes!$X$6:$X$9,$C65)*F65)-2),IF((INDEX(Routes!$L$6:$L$9,$C65)*INDEX(Routes!$X$6:$X$9,$C65)*F65)&lt;=4,2.9+0.75*((INDEX(Routes!$L$6:$L$9,$C65)*INDEX(Routes!$X$6:$X$9,$C65)*F65)-3),IF((INDEX(Routes!$L$6:$L$9,$C65)*INDEX(Routes!$X$6:$X$9,$C65)*F65)&lt;=5,3.65+0.6*((INDEX(Routes!$L$6:$L$9,$C65)*INDEX(Routes!$X$6:$X$9,$C65)*F65)-4),4.25+0.5*((INDEX(Routes!$L$6:$L$9,$C65)*INDEX(Routes!$X$6:$X$9,$C65)*F65)-5)))))</f>
        <v>32034</v>
      </c>
      <c r="AO65" s="67" t="n">
        <f aca="false">LOA_ft*Port_Tariffs!$C$9*IF((INDEX(Routes!$M$6:$M$9,$C65)*INDEX(Routes!$Y$6:$Y$9,$C65)*F65)&lt;=2,(INDEX(Routes!$M$6:$M$9,$C65)*INDEX(Routes!$Y$6:$Y$9,$C65)*F65),IF((INDEX(Routes!$M$6:$M$9,$C65)*INDEX(Routes!$Y$6:$Y$9,$C65)*F65)&lt;=3,2+0.9*((INDEX(Routes!$M$6:$M$9,$C65)*INDEX(Routes!$Y$6:$Y$9,$C65)*F65)-2),IF((INDEX(Routes!$M$6:$M$9,$C65)*INDEX(Routes!$Y$6:$Y$9,$C65)*F65)&lt;=4,2.9+0.75*((INDEX(Routes!$M$6:$M$9,$C65)*INDEX(Routes!$Y$6:$Y$9,$C65)*F65)-3),IF((INDEX(Routes!$M$6:$M$9,$C65)*INDEX(Routes!$Y$6:$Y$9,$C65)*F65)&lt;=5,3.65+0.6*((INDEX(Routes!$M$6:$M$9,$C65)*INDEX(Routes!$Y$6:$Y$9,$C65)*F65)-4),4.25+0.5*((INDEX(Routes!$M$6:$M$9,$C65)*INDEX(Routes!$Y$6:$Y$9,$C65)*F65)-5)))))</f>
        <v>0</v>
      </c>
    </row>
    <row r="66" customFormat="false" ht="15" hidden="false" customHeight="false" outlineLevel="0" collapsed="false">
      <c r="A66" s="2" t="s">
        <v>560</v>
      </c>
      <c r="B66" s="2" t="s">
        <v>536</v>
      </c>
      <c r="C66" s="16" t="n">
        <f aca="false">Sw_Route</f>
        <v>1</v>
      </c>
      <c r="D66" s="70" t="n">
        <v>110</v>
      </c>
      <c r="E66" s="88" t="n">
        <f aca="false">FreightMult</f>
        <v>1</v>
      </c>
      <c r="F66" s="92" t="n">
        <v>2</v>
      </c>
      <c r="G66" s="89" t="n">
        <f aca="false">UtilFH</f>
        <v>0.85</v>
      </c>
      <c r="H66" s="89" t="n">
        <f aca="false">UtilBH</f>
        <v>0.5</v>
      </c>
      <c r="I66" s="90" t="n">
        <f aca="false">Speed</f>
        <v>13.5</v>
      </c>
      <c r="J66" s="88" t="n">
        <f aca="false">PortCostMult</f>
        <v>1</v>
      </c>
      <c r="K66" s="90" t="n">
        <f aca="false">EUA</f>
        <v>75</v>
      </c>
      <c r="L66" s="71" t="n">
        <f aca="false">INDEX(Routes!$E$6:$E$9,$C66)</f>
        <v>5000</v>
      </c>
      <c r="M66" s="72" t="n">
        <f aca="false">INDEX(Routes!$F$6:$F$9,$C66)/L66</f>
        <v>0.13</v>
      </c>
      <c r="N66" s="77" t="n">
        <f aca="false">2*L66*(1+SeaMargin)/(I66*24)</f>
        <v>32.4074074074074</v>
      </c>
      <c r="O66" s="84" t="n">
        <f aca="false">(I66/RefSpeed)^SpeedExp</f>
        <v>1</v>
      </c>
      <c r="P66" s="2" t="n">
        <f aca="false">IF(H66&gt;0,1,0)</f>
        <v>1</v>
      </c>
      <c r="Q66" s="71" t="n">
        <f aca="false">N66/2*O66*(ConsLaden+IF(P66=1,ConsLaden,ConsBallast))</f>
        <v>875</v>
      </c>
      <c r="R66" s="71" t="n">
        <f aca="false">Q66*(1-M66)</f>
        <v>761.25</v>
      </c>
      <c r="S66" s="71" t="n">
        <f aca="false">Q66*M66</f>
        <v>113.75</v>
      </c>
      <c r="T66" s="2" t="n">
        <f aca="false">1+P66</f>
        <v>2</v>
      </c>
      <c r="U66" s="77" t="n">
        <f aca="false">INDEX(Routes!$L$6:$L$9,$C66)*T66*F66</f>
        <v>20</v>
      </c>
      <c r="V66" s="77" t="n">
        <f aca="false">INDEX(Routes!$M$6:$M$9,$C66)*T66*F66</f>
        <v>14</v>
      </c>
      <c r="W66" s="77" t="n">
        <f aca="false">INDEX(Routes!$H$6:$H$9,$C66)*2</f>
        <v>0</v>
      </c>
      <c r="X66" s="71" t="n">
        <f aca="false">(U66+V66+W66)*ConsPort</f>
        <v>204</v>
      </c>
      <c r="Y66" s="67" t="n">
        <f aca="false">R66*D66*VLSFO_Mult+(S66+X66)*D66*MGO_Mult</f>
        <v>983818</v>
      </c>
      <c r="Z66" s="67" t="n">
        <f aca="false">(INDEX(Routes!$N$6:$N$9,$C66)+AN66+MIN(AC66*INDEX(Routes!$T$6:$T$9,$C66),INDEX(Routes!$V$6:$V$9,$C66))+INDEX(Routes!$O$6:$O$9,$C66)+AO66+MIN(AC66*INDEX(Routes!$U$6:$U$9,$C66),INDEX(Routes!$W$6:$W$9,$C66))+IF(P66=1,INDEX(Routes!$N$6:$N$9,$C66)+AN66+MIN(AD66*INDEX(Routes!$T$6:$T$9,$C66),INDEX(Routes!$V$6:$V$9,$C66))+INDEX(Routes!$O$6:$O$9,$C66)+AO66+MIN(AD66*INDEX(Routes!$U$6:$U$9,$C66),INDEX(Routes!$W$6:$W$9,$C66)),0))*J66</f>
        <v>277257.0096</v>
      </c>
      <c r="AA66" s="67" t="n">
        <f aca="false">INDEX(Routes!$R$6:$R$9,$C66)+IF(P66=1,INDEX(Routes!$R$6:$R$9,$C66),INDEX(Routes!$S$6:$S$9,$C66))</f>
        <v>0</v>
      </c>
      <c r="AB66" s="67" t="n">
        <f aca="false">((R66*CO2_VLSFO+S66*CO2_MGO)*INDEX(Routes!$I$6:$I$9,$C66)+(U66*INDEX(Routes!$P$6:$P$9,$C66)+V66*INDEX(Routes!$Q$6:$Q$9,$C66))*ConsPort*CO2_MGO)*PhaseIn*K66*FX</f>
        <v>135045.19875</v>
      </c>
      <c r="AC66" s="71" t="n">
        <f aca="false">Capacity*G66</f>
        <v>30600</v>
      </c>
      <c r="AD66" s="71" t="n">
        <f aca="false">Capacity*H66</f>
        <v>18000</v>
      </c>
      <c r="AE66" s="82" t="n">
        <f aca="false">INDEX(Routes!$J$6:$J$9,$C66)*E66</f>
        <v>52</v>
      </c>
      <c r="AF66" s="82" t="n">
        <f aca="false">INDEX(Routes!$K$6:$K$9,$C66)*E66</f>
        <v>38</v>
      </c>
      <c r="AG66" s="67" t="n">
        <f aca="false">AC66*AE66+AD66*AF66</f>
        <v>2275200</v>
      </c>
      <c r="AH66" s="67" t="n">
        <f aca="false">AG66*Commission</f>
        <v>56880</v>
      </c>
      <c r="AI66" s="67" t="n">
        <f aca="false">Y66+Z66+AA66+AB66+MiscVoy</f>
        <v>1421120.20835</v>
      </c>
      <c r="AJ66" s="77" t="n">
        <f aca="false">N66+U66+V66+W66</f>
        <v>66.4074074074074</v>
      </c>
      <c r="AK66" s="94" t="n">
        <f aca="false">(AG66-AH66-AI66)/AJ66</f>
        <v>12004.6817482153</v>
      </c>
      <c r="AL66" s="67" t="n">
        <f aca="false">AG66-AH66-AI66-Benchmark*AJ66</f>
        <v>-398133.541683333</v>
      </c>
      <c r="AM66" s="82" t="n">
        <f aca="false">IF(AC66&gt;0,((Benchmark*AJ66+AI66)/(1-Commission)-AD66*AF66)/AC66,0)</f>
        <v>65.3445128769343</v>
      </c>
      <c r="AN66" s="67" t="n">
        <f aca="false">LOA_ft*Port_Tariffs!$C$9*IF((INDEX(Routes!$L$6:$L$9,$C66)*INDEX(Routes!$X$6:$X$9,$C66)*F66)&lt;=2,(INDEX(Routes!$L$6:$L$9,$C66)*INDEX(Routes!$X$6:$X$9,$C66)*F66),IF((INDEX(Routes!$L$6:$L$9,$C66)*INDEX(Routes!$X$6:$X$9,$C66)*F66)&lt;=3,2+0.9*((INDEX(Routes!$L$6:$L$9,$C66)*INDEX(Routes!$X$6:$X$9,$C66)*F66)-2),IF((INDEX(Routes!$L$6:$L$9,$C66)*INDEX(Routes!$X$6:$X$9,$C66)*F66)&lt;=4,2.9+0.75*((INDEX(Routes!$L$6:$L$9,$C66)*INDEX(Routes!$X$6:$X$9,$C66)*F66)-3),IF((INDEX(Routes!$L$6:$L$9,$C66)*INDEX(Routes!$X$6:$X$9,$C66)*F66)&lt;=5,3.65+0.6*((INDEX(Routes!$L$6:$L$9,$C66)*INDEX(Routes!$X$6:$X$9,$C66)*F66)-4),4.25+0.5*((INDEX(Routes!$L$6:$L$9,$C66)*INDEX(Routes!$X$6:$X$9,$C66)*F66)-5)))))</f>
        <v>32034</v>
      </c>
      <c r="AO66" s="67" t="n">
        <f aca="false">LOA_ft*Port_Tariffs!$C$9*IF((INDEX(Routes!$M$6:$M$9,$C66)*INDEX(Routes!$Y$6:$Y$9,$C66)*F66)&lt;=2,(INDEX(Routes!$M$6:$M$9,$C66)*INDEX(Routes!$Y$6:$Y$9,$C66)*F66),IF((INDEX(Routes!$M$6:$M$9,$C66)*INDEX(Routes!$Y$6:$Y$9,$C66)*F66)&lt;=3,2+0.9*((INDEX(Routes!$M$6:$M$9,$C66)*INDEX(Routes!$Y$6:$Y$9,$C66)*F66)-2),IF((INDEX(Routes!$M$6:$M$9,$C66)*INDEX(Routes!$Y$6:$Y$9,$C66)*F66)&lt;=4,2.9+0.75*((INDEX(Routes!$M$6:$M$9,$C66)*INDEX(Routes!$Y$6:$Y$9,$C66)*F66)-3),IF((INDEX(Routes!$M$6:$M$9,$C66)*INDEX(Routes!$Y$6:$Y$9,$C66)*F66)&lt;=5,3.65+0.6*((INDEX(Routes!$M$6:$M$9,$C66)*INDEX(Routes!$Y$6:$Y$9,$C66)*F66)-4),4.25+0.5*((INDEX(Routes!$M$6:$M$9,$C66)*INDEX(Routes!$Y$6:$Y$9,$C66)*F66)-5)))))</f>
        <v>0</v>
      </c>
    </row>
    <row r="67" customFormat="false" ht="15" hidden="false" customHeight="false" outlineLevel="0" collapsed="false">
      <c r="A67" s="2" t="s">
        <v>561</v>
      </c>
      <c r="B67" s="2" t="s">
        <v>536</v>
      </c>
      <c r="C67" s="16" t="n">
        <f aca="false">Sw_Route</f>
        <v>1</v>
      </c>
      <c r="D67" s="70" t="n">
        <v>120</v>
      </c>
      <c r="E67" s="88" t="n">
        <f aca="false">FreightMult</f>
        <v>1</v>
      </c>
      <c r="F67" s="92" t="n">
        <v>2</v>
      </c>
      <c r="G67" s="89" t="n">
        <f aca="false">UtilFH</f>
        <v>0.85</v>
      </c>
      <c r="H67" s="89" t="n">
        <f aca="false">UtilBH</f>
        <v>0.5</v>
      </c>
      <c r="I67" s="90" t="n">
        <f aca="false">Speed</f>
        <v>13.5</v>
      </c>
      <c r="J67" s="88" t="n">
        <f aca="false">PortCostMult</f>
        <v>1</v>
      </c>
      <c r="K67" s="90" t="n">
        <f aca="false">EUA</f>
        <v>75</v>
      </c>
      <c r="L67" s="71" t="n">
        <f aca="false">INDEX(Routes!$E$6:$E$9,$C67)</f>
        <v>5000</v>
      </c>
      <c r="M67" s="72" t="n">
        <f aca="false">INDEX(Routes!$F$6:$F$9,$C67)/L67</f>
        <v>0.13</v>
      </c>
      <c r="N67" s="77" t="n">
        <f aca="false">2*L67*(1+SeaMargin)/(I67*24)</f>
        <v>32.4074074074074</v>
      </c>
      <c r="O67" s="84" t="n">
        <f aca="false">(I67/RefSpeed)^SpeedExp</f>
        <v>1</v>
      </c>
      <c r="P67" s="2" t="n">
        <f aca="false">IF(H67&gt;0,1,0)</f>
        <v>1</v>
      </c>
      <c r="Q67" s="71" t="n">
        <f aca="false">N67/2*O67*(ConsLaden+IF(P67=1,ConsLaden,ConsBallast))</f>
        <v>875</v>
      </c>
      <c r="R67" s="71" t="n">
        <f aca="false">Q67*(1-M67)</f>
        <v>761.25</v>
      </c>
      <c r="S67" s="71" t="n">
        <f aca="false">Q67*M67</f>
        <v>113.75</v>
      </c>
      <c r="T67" s="2" t="n">
        <f aca="false">1+P67</f>
        <v>2</v>
      </c>
      <c r="U67" s="77" t="n">
        <f aca="false">INDEX(Routes!$L$6:$L$9,$C67)*T67*F67</f>
        <v>20</v>
      </c>
      <c r="V67" s="77" t="n">
        <f aca="false">INDEX(Routes!$M$6:$M$9,$C67)*T67*F67</f>
        <v>14</v>
      </c>
      <c r="W67" s="77" t="n">
        <f aca="false">INDEX(Routes!$H$6:$H$9,$C67)*2</f>
        <v>0</v>
      </c>
      <c r="X67" s="71" t="n">
        <f aca="false">(U67+V67+W67)*ConsPort</f>
        <v>204</v>
      </c>
      <c r="Y67" s="67" t="n">
        <f aca="false">R67*D67*VLSFO_Mult+(S67+X67)*D67*MGO_Mult</f>
        <v>1073256</v>
      </c>
      <c r="Z67" s="67" t="n">
        <f aca="false">(INDEX(Routes!$N$6:$N$9,$C67)+AN67+MIN(AC67*INDEX(Routes!$T$6:$T$9,$C67),INDEX(Routes!$V$6:$V$9,$C67))+INDEX(Routes!$O$6:$O$9,$C67)+AO67+MIN(AC67*INDEX(Routes!$U$6:$U$9,$C67),INDEX(Routes!$W$6:$W$9,$C67))+IF(P67=1,INDEX(Routes!$N$6:$N$9,$C67)+AN67+MIN(AD67*INDEX(Routes!$T$6:$T$9,$C67),INDEX(Routes!$V$6:$V$9,$C67))+INDEX(Routes!$O$6:$O$9,$C67)+AO67+MIN(AD67*INDEX(Routes!$U$6:$U$9,$C67),INDEX(Routes!$W$6:$W$9,$C67)),0))*J67</f>
        <v>277257.0096</v>
      </c>
      <c r="AA67" s="67" t="n">
        <f aca="false">INDEX(Routes!$R$6:$R$9,$C67)+IF(P67=1,INDEX(Routes!$R$6:$R$9,$C67),INDEX(Routes!$S$6:$S$9,$C67))</f>
        <v>0</v>
      </c>
      <c r="AB67" s="67" t="n">
        <f aca="false">((R67*CO2_VLSFO+S67*CO2_MGO)*INDEX(Routes!$I$6:$I$9,$C67)+(U67*INDEX(Routes!$P$6:$P$9,$C67)+V67*INDEX(Routes!$Q$6:$Q$9,$C67))*ConsPort*CO2_MGO)*PhaseIn*K67*FX</f>
        <v>135045.19875</v>
      </c>
      <c r="AC67" s="71" t="n">
        <f aca="false">Capacity*G67</f>
        <v>30600</v>
      </c>
      <c r="AD67" s="71" t="n">
        <f aca="false">Capacity*H67</f>
        <v>18000</v>
      </c>
      <c r="AE67" s="82" t="n">
        <f aca="false">INDEX(Routes!$J$6:$J$9,$C67)*E67</f>
        <v>52</v>
      </c>
      <c r="AF67" s="82" t="n">
        <f aca="false">INDEX(Routes!$K$6:$K$9,$C67)*E67</f>
        <v>38</v>
      </c>
      <c r="AG67" s="67" t="n">
        <f aca="false">AC67*AE67+AD67*AF67</f>
        <v>2275200</v>
      </c>
      <c r="AH67" s="67" t="n">
        <f aca="false">AG67*Commission</f>
        <v>56880</v>
      </c>
      <c r="AI67" s="67" t="n">
        <f aca="false">Y67+Z67+AA67+AB67+MiscVoy</f>
        <v>1510558.20835</v>
      </c>
      <c r="AJ67" s="77" t="n">
        <f aca="false">N67+U67+V67+W67</f>
        <v>66.4074074074074</v>
      </c>
      <c r="AK67" s="94" t="n">
        <f aca="false">(AG67-AH67-AI67)/AJ67</f>
        <v>10657.8741631623</v>
      </c>
      <c r="AL67" s="67" t="n">
        <f aca="false">AG67-AH67-AI67-Benchmark*AJ67</f>
        <v>-487571.541683333</v>
      </c>
      <c r="AM67" s="82" t="n">
        <f aca="false">IF(AC67&gt;0,((Benchmark*AJ67+AI67)/(1-Commission)-AD67*AF67)/AC67,0)</f>
        <v>68.3422671923356</v>
      </c>
      <c r="AN67" s="67" t="n">
        <f aca="false">LOA_ft*Port_Tariffs!$C$9*IF((INDEX(Routes!$L$6:$L$9,$C67)*INDEX(Routes!$X$6:$X$9,$C67)*F67)&lt;=2,(INDEX(Routes!$L$6:$L$9,$C67)*INDEX(Routes!$X$6:$X$9,$C67)*F67),IF((INDEX(Routes!$L$6:$L$9,$C67)*INDEX(Routes!$X$6:$X$9,$C67)*F67)&lt;=3,2+0.9*((INDEX(Routes!$L$6:$L$9,$C67)*INDEX(Routes!$X$6:$X$9,$C67)*F67)-2),IF((INDEX(Routes!$L$6:$L$9,$C67)*INDEX(Routes!$X$6:$X$9,$C67)*F67)&lt;=4,2.9+0.75*((INDEX(Routes!$L$6:$L$9,$C67)*INDEX(Routes!$X$6:$X$9,$C67)*F67)-3),IF((INDEX(Routes!$L$6:$L$9,$C67)*INDEX(Routes!$X$6:$X$9,$C67)*F67)&lt;=5,3.65+0.6*((INDEX(Routes!$L$6:$L$9,$C67)*INDEX(Routes!$X$6:$X$9,$C67)*F67)-4),4.25+0.5*((INDEX(Routes!$L$6:$L$9,$C67)*INDEX(Routes!$X$6:$X$9,$C67)*F67)-5)))))</f>
        <v>32034</v>
      </c>
      <c r="AO67" s="67" t="n">
        <f aca="false">LOA_ft*Port_Tariffs!$C$9*IF((INDEX(Routes!$M$6:$M$9,$C67)*INDEX(Routes!$Y$6:$Y$9,$C67)*F67)&lt;=2,(INDEX(Routes!$M$6:$M$9,$C67)*INDEX(Routes!$Y$6:$Y$9,$C67)*F67),IF((INDEX(Routes!$M$6:$M$9,$C67)*INDEX(Routes!$Y$6:$Y$9,$C67)*F67)&lt;=3,2+0.9*((INDEX(Routes!$M$6:$M$9,$C67)*INDEX(Routes!$Y$6:$Y$9,$C67)*F67)-2),IF((INDEX(Routes!$M$6:$M$9,$C67)*INDEX(Routes!$Y$6:$Y$9,$C67)*F67)&lt;=4,2.9+0.75*((INDEX(Routes!$M$6:$M$9,$C67)*INDEX(Routes!$Y$6:$Y$9,$C67)*F67)-3),IF((INDEX(Routes!$M$6:$M$9,$C67)*INDEX(Routes!$Y$6:$Y$9,$C67)*F67)&lt;=5,3.65+0.6*((INDEX(Routes!$M$6:$M$9,$C67)*INDEX(Routes!$Y$6:$Y$9,$C67)*F67)-4),4.25+0.5*((INDEX(Routes!$M$6:$M$9,$C67)*INDEX(Routes!$Y$6:$Y$9,$C67)*F67)-5)))))</f>
        <v>0</v>
      </c>
    </row>
    <row r="68" customFormat="false" ht="15" hidden="false" customHeight="false" outlineLevel="0" collapsed="false">
      <c r="A68" s="2" t="s">
        <v>562</v>
      </c>
      <c r="B68" s="2" t="s">
        <v>536</v>
      </c>
      <c r="C68" s="16" t="n">
        <f aca="false">Sw_Route</f>
        <v>1</v>
      </c>
      <c r="D68" s="70" t="n">
        <v>130</v>
      </c>
      <c r="E68" s="88" t="n">
        <f aca="false">FreightMult</f>
        <v>1</v>
      </c>
      <c r="F68" s="92" t="n">
        <v>2</v>
      </c>
      <c r="G68" s="89" t="n">
        <f aca="false">UtilFH</f>
        <v>0.85</v>
      </c>
      <c r="H68" s="89" t="n">
        <f aca="false">UtilBH</f>
        <v>0.5</v>
      </c>
      <c r="I68" s="90" t="n">
        <f aca="false">Speed</f>
        <v>13.5</v>
      </c>
      <c r="J68" s="88" t="n">
        <f aca="false">PortCostMult</f>
        <v>1</v>
      </c>
      <c r="K68" s="90" t="n">
        <f aca="false">EUA</f>
        <v>75</v>
      </c>
      <c r="L68" s="71" t="n">
        <f aca="false">INDEX(Routes!$E$6:$E$9,$C68)</f>
        <v>5000</v>
      </c>
      <c r="M68" s="72" t="n">
        <f aca="false">INDEX(Routes!$F$6:$F$9,$C68)/L68</f>
        <v>0.13</v>
      </c>
      <c r="N68" s="77" t="n">
        <f aca="false">2*L68*(1+SeaMargin)/(I68*24)</f>
        <v>32.4074074074074</v>
      </c>
      <c r="O68" s="84" t="n">
        <f aca="false">(I68/RefSpeed)^SpeedExp</f>
        <v>1</v>
      </c>
      <c r="P68" s="2" t="n">
        <f aca="false">IF(H68&gt;0,1,0)</f>
        <v>1</v>
      </c>
      <c r="Q68" s="71" t="n">
        <f aca="false">N68/2*O68*(ConsLaden+IF(P68=1,ConsLaden,ConsBallast))</f>
        <v>875</v>
      </c>
      <c r="R68" s="71" t="n">
        <f aca="false">Q68*(1-M68)</f>
        <v>761.25</v>
      </c>
      <c r="S68" s="71" t="n">
        <f aca="false">Q68*M68</f>
        <v>113.75</v>
      </c>
      <c r="T68" s="2" t="n">
        <f aca="false">1+P68</f>
        <v>2</v>
      </c>
      <c r="U68" s="77" t="n">
        <f aca="false">INDEX(Routes!$L$6:$L$9,$C68)*T68*F68</f>
        <v>20</v>
      </c>
      <c r="V68" s="77" t="n">
        <f aca="false">INDEX(Routes!$M$6:$M$9,$C68)*T68*F68</f>
        <v>14</v>
      </c>
      <c r="W68" s="77" t="n">
        <f aca="false">INDEX(Routes!$H$6:$H$9,$C68)*2</f>
        <v>0</v>
      </c>
      <c r="X68" s="71" t="n">
        <f aca="false">(U68+V68+W68)*ConsPort</f>
        <v>204</v>
      </c>
      <c r="Y68" s="67" t="n">
        <f aca="false">R68*D68*VLSFO_Mult+(S68+X68)*D68*MGO_Mult</f>
        <v>1162694</v>
      </c>
      <c r="Z68" s="67" t="n">
        <f aca="false">(INDEX(Routes!$N$6:$N$9,$C68)+AN68+MIN(AC68*INDEX(Routes!$T$6:$T$9,$C68),INDEX(Routes!$V$6:$V$9,$C68))+INDEX(Routes!$O$6:$O$9,$C68)+AO68+MIN(AC68*INDEX(Routes!$U$6:$U$9,$C68),INDEX(Routes!$W$6:$W$9,$C68))+IF(P68=1,INDEX(Routes!$N$6:$N$9,$C68)+AN68+MIN(AD68*INDEX(Routes!$T$6:$T$9,$C68),INDEX(Routes!$V$6:$V$9,$C68))+INDEX(Routes!$O$6:$O$9,$C68)+AO68+MIN(AD68*INDEX(Routes!$U$6:$U$9,$C68),INDEX(Routes!$W$6:$W$9,$C68)),0))*J68</f>
        <v>277257.0096</v>
      </c>
      <c r="AA68" s="67" t="n">
        <f aca="false">INDEX(Routes!$R$6:$R$9,$C68)+IF(P68=1,INDEX(Routes!$R$6:$R$9,$C68),INDEX(Routes!$S$6:$S$9,$C68))</f>
        <v>0</v>
      </c>
      <c r="AB68" s="67" t="n">
        <f aca="false">((R68*CO2_VLSFO+S68*CO2_MGO)*INDEX(Routes!$I$6:$I$9,$C68)+(U68*INDEX(Routes!$P$6:$P$9,$C68)+V68*INDEX(Routes!$Q$6:$Q$9,$C68))*ConsPort*CO2_MGO)*PhaseIn*K68*FX</f>
        <v>135045.19875</v>
      </c>
      <c r="AC68" s="71" t="n">
        <f aca="false">Capacity*G68</f>
        <v>30600</v>
      </c>
      <c r="AD68" s="71" t="n">
        <f aca="false">Capacity*H68</f>
        <v>18000</v>
      </c>
      <c r="AE68" s="82" t="n">
        <f aca="false">INDEX(Routes!$J$6:$J$9,$C68)*E68</f>
        <v>52</v>
      </c>
      <c r="AF68" s="82" t="n">
        <f aca="false">INDEX(Routes!$K$6:$K$9,$C68)*E68</f>
        <v>38</v>
      </c>
      <c r="AG68" s="67" t="n">
        <f aca="false">AC68*AE68+AD68*AF68</f>
        <v>2275200</v>
      </c>
      <c r="AH68" s="67" t="n">
        <f aca="false">AG68*Commission</f>
        <v>56880</v>
      </c>
      <c r="AI68" s="67" t="n">
        <f aca="false">Y68+Z68+AA68+AB68+MiscVoy</f>
        <v>1599996.20835</v>
      </c>
      <c r="AJ68" s="77" t="n">
        <f aca="false">N68+U68+V68+W68</f>
        <v>66.4074074074074</v>
      </c>
      <c r="AK68" s="94" t="n">
        <f aca="false">(AG68-AH68-AI68)/AJ68</f>
        <v>9311.06657810932</v>
      </c>
      <c r="AL68" s="67" t="n">
        <f aca="false">AG68-AH68-AI68-Benchmark*AJ68</f>
        <v>-577009.541683333</v>
      </c>
      <c r="AM68" s="82" t="n">
        <f aca="false">IF(AC68&gt;0,((Benchmark*AJ68+AI68)/(1-Commission)-AD68*AF68)/AC68,0)</f>
        <v>71.340021507737</v>
      </c>
      <c r="AN68" s="67" t="n">
        <f aca="false">LOA_ft*Port_Tariffs!$C$9*IF((INDEX(Routes!$L$6:$L$9,$C68)*INDEX(Routes!$X$6:$X$9,$C68)*F68)&lt;=2,(INDEX(Routes!$L$6:$L$9,$C68)*INDEX(Routes!$X$6:$X$9,$C68)*F68),IF((INDEX(Routes!$L$6:$L$9,$C68)*INDEX(Routes!$X$6:$X$9,$C68)*F68)&lt;=3,2+0.9*((INDEX(Routes!$L$6:$L$9,$C68)*INDEX(Routes!$X$6:$X$9,$C68)*F68)-2),IF((INDEX(Routes!$L$6:$L$9,$C68)*INDEX(Routes!$X$6:$X$9,$C68)*F68)&lt;=4,2.9+0.75*((INDEX(Routes!$L$6:$L$9,$C68)*INDEX(Routes!$X$6:$X$9,$C68)*F68)-3),IF((INDEX(Routes!$L$6:$L$9,$C68)*INDEX(Routes!$X$6:$X$9,$C68)*F68)&lt;=5,3.65+0.6*((INDEX(Routes!$L$6:$L$9,$C68)*INDEX(Routes!$X$6:$X$9,$C68)*F68)-4),4.25+0.5*((INDEX(Routes!$L$6:$L$9,$C68)*INDEX(Routes!$X$6:$X$9,$C68)*F68)-5)))))</f>
        <v>32034</v>
      </c>
      <c r="AO68" s="67" t="n">
        <f aca="false">LOA_ft*Port_Tariffs!$C$9*IF((INDEX(Routes!$M$6:$M$9,$C68)*INDEX(Routes!$Y$6:$Y$9,$C68)*F68)&lt;=2,(INDEX(Routes!$M$6:$M$9,$C68)*INDEX(Routes!$Y$6:$Y$9,$C68)*F68),IF((INDEX(Routes!$M$6:$M$9,$C68)*INDEX(Routes!$Y$6:$Y$9,$C68)*F68)&lt;=3,2+0.9*((INDEX(Routes!$M$6:$M$9,$C68)*INDEX(Routes!$Y$6:$Y$9,$C68)*F68)-2),IF((INDEX(Routes!$M$6:$M$9,$C68)*INDEX(Routes!$Y$6:$Y$9,$C68)*F68)&lt;=4,2.9+0.75*((INDEX(Routes!$M$6:$M$9,$C68)*INDEX(Routes!$Y$6:$Y$9,$C68)*F68)-3),IF((INDEX(Routes!$M$6:$M$9,$C68)*INDEX(Routes!$Y$6:$Y$9,$C68)*F68)&lt;=5,3.65+0.6*((INDEX(Routes!$M$6:$M$9,$C68)*INDEX(Routes!$Y$6:$Y$9,$C68)*F68)-4),4.25+0.5*((INDEX(Routes!$M$6:$M$9,$C68)*INDEX(Routes!$Y$6:$Y$9,$C68)*F68)-5)))))</f>
        <v>0</v>
      </c>
    </row>
    <row r="69" customFormat="false" ht="15" hidden="false" customHeight="false" outlineLevel="0" collapsed="false">
      <c r="A69" s="2" t="s">
        <v>563</v>
      </c>
      <c r="B69" s="2" t="s">
        <v>564</v>
      </c>
      <c r="C69" s="16" t="n">
        <f aca="false">Sw_Route</f>
        <v>1</v>
      </c>
      <c r="D69" s="70" t="n">
        <v>50</v>
      </c>
      <c r="E69" s="88" t="n">
        <f aca="false">FreightMult</f>
        <v>1</v>
      </c>
      <c r="F69" s="88" t="n">
        <f aca="false">PortMult</f>
        <v>1</v>
      </c>
      <c r="G69" s="59" t="n">
        <v>0.7</v>
      </c>
      <c r="H69" s="89" t="n">
        <f aca="false">UtilBH</f>
        <v>0.5</v>
      </c>
      <c r="I69" s="90" t="n">
        <f aca="false">Speed</f>
        <v>13.5</v>
      </c>
      <c r="J69" s="88" t="n">
        <f aca="false">PortCostMult</f>
        <v>1</v>
      </c>
      <c r="K69" s="90" t="n">
        <f aca="false">EUA</f>
        <v>75</v>
      </c>
      <c r="L69" s="71" t="n">
        <f aca="false">INDEX(Routes!$E$6:$E$9,$C69)</f>
        <v>5000</v>
      </c>
      <c r="M69" s="72" t="n">
        <f aca="false">INDEX(Routes!$F$6:$F$9,$C69)/L69</f>
        <v>0.13</v>
      </c>
      <c r="N69" s="77" t="n">
        <f aca="false">2*L69*(1+SeaMargin)/(I69*24)</f>
        <v>32.4074074074074</v>
      </c>
      <c r="O69" s="84" t="n">
        <f aca="false">(I69/RefSpeed)^SpeedExp</f>
        <v>1</v>
      </c>
      <c r="P69" s="2" t="n">
        <f aca="false">IF(H69&gt;0,1,0)</f>
        <v>1</v>
      </c>
      <c r="Q69" s="71" t="n">
        <f aca="false">N69/2*O69*(ConsLaden+IF(P69=1,ConsLaden,ConsBallast))</f>
        <v>875</v>
      </c>
      <c r="R69" s="71" t="n">
        <f aca="false">Q69*(1-M69)</f>
        <v>761.25</v>
      </c>
      <c r="S69" s="71" t="n">
        <f aca="false">Q69*M69</f>
        <v>113.75</v>
      </c>
      <c r="T69" s="2" t="n">
        <f aca="false">1+P69</f>
        <v>2</v>
      </c>
      <c r="U69" s="77" t="n">
        <f aca="false">INDEX(Routes!$L$6:$L$9,$C69)*T69*F69</f>
        <v>10</v>
      </c>
      <c r="V69" s="77" t="n">
        <f aca="false">INDEX(Routes!$M$6:$M$9,$C69)*T69*F69</f>
        <v>7</v>
      </c>
      <c r="W69" s="77" t="n">
        <f aca="false">INDEX(Routes!$H$6:$H$9,$C69)*2</f>
        <v>0</v>
      </c>
      <c r="X69" s="71" t="n">
        <f aca="false">(U69+V69+W69)*ConsPort</f>
        <v>102</v>
      </c>
      <c r="Y69" s="67" t="n">
        <f aca="false">R69*D69*VLSFO_Mult+(S69+X69)*D69*MGO_Mult</f>
        <v>397720</v>
      </c>
      <c r="Z69" s="67" t="n">
        <f aca="false">(INDEX(Routes!$N$6:$N$9,$C69)+AN69+MIN(AC69*INDEX(Routes!$T$6:$T$9,$C69),INDEX(Routes!$V$6:$V$9,$C69))+INDEX(Routes!$O$6:$O$9,$C69)+AO69+MIN(AC69*INDEX(Routes!$U$6:$U$9,$C69),INDEX(Routes!$W$6:$W$9,$C69))+IF(P69=1,INDEX(Routes!$N$6:$N$9,$C69)+AN69+MIN(AD69*INDEX(Routes!$T$6:$T$9,$C69),INDEX(Routes!$V$6:$V$9,$C69))+INDEX(Routes!$O$6:$O$9,$C69)+AO69+MIN(AD69*INDEX(Routes!$U$6:$U$9,$C69),INDEX(Routes!$W$6:$W$9,$C69)),0))*J69</f>
        <v>248763.0192</v>
      </c>
      <c r="AA69" s="67" t="n">
        <f aca="false">INDEX(Routes!$R$6:$R$9,$C69)+IF(P69=1,INDEX(Routes!$R$6:$R$9,$C69),INDEX(Routes!$S$6:$S$9,$C69))</f>
        <v>0</v>
      </c>
      <c r="AB69" s="67" t="n">
        <f aca="false">((R69*CO2_VLSFO+S69*CO2_MGO)*INDEX(Routes!$I$6:$I$9,$C69)+(U69*INDEX(Routes!$P$6:$P$9,$C69)+V69*INDEX(Routes!$Q$6:$Q$9,$C69))*ConsPort*CO2_MGO)*PhaseIn*K69*FX</f>
        <v>123936.40875</v>
      </c>
      <c r="AC69" s="71" t="n">
        <f aca="false">Capacity*G69</f>
        <v>25200</v>
      </c>
      <c r="AD69" s="71" t="n">
        <f aca="false">Capacity*H69</f>
        <v>18000</v>
      </c>
      <c r="AE69" s="82" t="n">
        <f aca="false">INDEX(Routes!$J$6:$J$9,$C69)*E69</f>
        <v>52</v>
      </c>
      <c r="AF69" s="82" t="n">
        <f aca="false">INDEX(Routes!$K$6:$K$9,$C69)*E69</f>
        <v>38</v>
      </c>
      <c r="AG69" s="67" t="n">
        <f aca="false">AC69*AE69+AD69*AF69</f>
        <v>1994400</v>
      </c>
      <c r="AH69" s="67" t="n">
        <f aca="false">AG69*Commission</f>
        <v>49860</v>
      </c>
      <c r="AI69" s="67" t="n">
        <f aca="false">Y69+Z69+AA69+AB69+MiscVoy</f>
        <v>795419.42795</v>
      </c>
      <c r="AJ69" s="77" t="n">
        <f aca="false">N69+U69+V69+W69</f>
        <v>49.4074074074074</v>
      </c>
      <c r="AK69" s="94" t="n">
        <f aca="false">(AG69-AH69-AI69)/AJ69</f>
        <v>23258.0625527361</v>
      </c>
      <c r="AL69" s="67" t="n">
        <f aca="false">AG69-AH69-AI69-Benchmark*AJ69</f>
        <v>259787.238716667</v>
      </c>
      <c r="AM69" s="82" t="n">
        <f aca="false">IF(AC69&gt;0,((Benchmark*AJ69+AI69)/(1-Commission)-AD69*AF69)/AC69,0)</f>
        <v>41.4266488108805</v>
      </c>
      <c r="AN69" s="67" t="n">
        <f aca="false">LOA_ft*Port_Tariffs!$C$9*IF((INDEX(Routes!$L$6:$L$9,$C69)*INDEX(Routes!$X$6:$X$9,$C69)*F69)&lt;=2,(INDEX(Routes!$L$6:$L$9,$C69)*INDEX(Routes!$X$6:$X$9,$C69)*F69),IF((INDEX(Routes!$L$6:$L$9,$C69)*INDEX(Routes!$X$6:$X$9,$C69)*F69)&lt;=3,2+0.9*((INDEX(Routes!$L$6:$L$9,$C69)*INDEX(Routes!$X$6:$X$9,$C69)*F69)-2),IF((INDEX(Routes!$L$6:$L$9,$C69)*INDEX(Routes!$X$6:$X$9,$C69)*F69)&lt;=4,2.9+0.75*((INDEX(Routes!$L$6:$L$9,$C69)*INDEX(Routes!$X$6:$X$9,$C69)*F69)-3),IF((INDEX(Routes!$L$6:$L$9,$C69)*INDEX(Routes!$X$6:$X$9,$C69)*F69)&lt;=5,3.65+0.6*((INDEX(Routes!$L$6:$L$9,$C69)*INDEX(Routes!$X$6:$X$9,$C69)*F69)-4),4.25+0.5*((INDEX(Routes!$L$6:$L$9,$C69)*INDEX(Routes!$X$6:$X$9,$C69)*F69)-5)))))</f>
        <v>19557.6</v>
      </c>
      <c r="AO69" s="67" t="n">
        <f aca="false">LOA_ft*Port_Tariffs!$C$9*IF((INDEX(Routes!$M$6:$M$9,$C69)*INDEX(Routes!$Y$6:$Y$9,$C69)*F69)&lt;=2,(INDEX(Routes!$M$6:$M$9,$C69)*INDEX(Routes!$Y$6:$Y$9,$C69)*F69),IF((INDEX(Routes!$M$6:$M$9,$C69)*INDEX(Routes!$Y$6:$Y$9,$C69)*F69)&lt;=3,2+0.9*((INDEX(Routes!$M$6:$M$9,$C69)*INDEX(Routes!$Y$6:$Y$9,$C69)*F69)-2),IF((INDEX(Routes!$M$6:$M$9,$C69)*INDEX(Routes!$Y$6:$Y$9,$C69)*F69)&lt;=4,2.9+0.75*((INDEX(Routes!$M$6:$M$9,$C69)*INDEX(Routes!$Y$6:$Y$9,$C69)*F69)-3),IF((INDEX(Routes!$M$6:$M$9,$C69)*INDEX(Routes!$Y$6:$Y$9,$C69)*F69)&lt;=5,3.65+0.6*((INDEX(Routes!$M$6:$M$9,$C69)*INDEX(Routes!$Y$6:$Y$9,$C69)*F69)-4),4.25+0.5*((INDEX(Routes!$M$6:$M$9,$C69)*INDEX(Routes!$Y$6:$Y$9,$C69)*F69)-5)))))</f>
        <v>0</v>
      </c>
    </row>
    <row r="70" customFormat="false" ht="15" hidden="false" customHeight="false" outlineLevel="0" collapsed="false">
      <c r="A70" s="2" t="s">
        <v>565</v>
      </c>
      <c r="B70" s="2" t="s">
        <v>564</v>
      </c>
      <c r="C70" s="16" t="n">
        <f aca="false">Sw_Route</f>
        <v>1</v>
      </c>
      <c r="D70" s="70" t="n">
        <v>60</v>
      </c>
      <c r="E70" s="88" t="n">
        <f aca="false">FreightMult</f>
        <v>1</v>
      </c>
      <c r="F70" s="88" t="n">
        <f aca="false">PortMult</f>
        <v>1</v>
      </c>
      <c r="G70" s="59" t="n">
        <v>0.7</v>
      </c>
      <c r="H70" s="89" t="n">
        <f aca="false">UtilBH</f>
        <v>0.5</v>
      </c>
      <c r="I70" s="90" t="n">
        <f aca="false">Speed</f>
        <v>13.5</v>
      </c>
      <c r="J70" s="88" t="n">
        <f aca="false">PortCostMult</f>
        <v>1</v>
      </c>
      <c r="K70" s="90" t="n">
        <f aca="false">EUA</f>
        <v>75</v>
      </c>
      <c r="L70" s="71" t="n">
        <f aca="false">INDEX(Routes!$E$6:$E$9,$C70)</f>
        <v>5000</v>
      </c>
      <c r="M70" s="72" t="n">
        <f aca="false">INDEX(Routes!$F$6:$F$9,$C70)/L70</f>
        <v>0.13</v>
      </c>
      <c r="N70" s="77" t="n">
        <f aca="false">2*L70*(1+SeaMargin)/(I70*24)</f>
        <v>32.4074074074074</v>
      </c>
      <c r="O70" s="84" t="n">
        <f aca="false">(I70/RefSpeed)^SpeedExp</f>
        <v>1</v>
      </c>
      <c r="P70" s="2" t="n">
        <f aca="false">IF(H70&gt;0,1,0)</f>
        <v>1</v>
      </c>
      <c r="Q70" s="71" t="n">
        <f aca="false">N70/2*O70*(ConsLaden+IF(P70=1,ConsLaden,ConsBallast))</f>
        <v>875</v>
      </c>
      <c r="R70" s="71" t="n">
        <f aca="false">Q70*(1-M70)</f>
        <v>761.25</v>
      </c>
      <c r="S70" s="71" t="n">
        <f aca="false">Q70*M70</f>
        <v>113.75</v>
      </c>
      <c r="T70" s="2" t="n">
        <f aca="false">1+P70</f>
        <v>2</v>
      </c>
      <c r="U70" s="77" t="n">
        <f aca="false">INDEX(Routes!$L$6:$L$9,$C70)*T70*F70</f>
        <v>10</v>
      </c>
      <c r="V70" s="77" t="n">
        <f aca="false">INDEX(Routes!$M$6:$M$9,$C70)*T70*F70</f>
        <v>7</v>
      </c>
      <c r="W70" s="77" t="n">
        <f aca="false">INDEX(Routes!$H$6:$H$9,$C70)*2</f>
        <v>0</v>
      </c>
      <c r="X70" s="71" t="n">
        <f aca="false">(U70+V70+W70)*ConsPort</f>
        <v>102</v>
      </c>
      <c r="Y70" s="67" t="n">
        <f aca="false">R70*D70*VLSFO_Mult+(S70+X70)*D70*MGO_Mult</f>
        <v>477264</v>
      </c>
      <c r="Z70" s="67" t="n">
        <f aca="false">(INDEX(Routes!$N$6:$N$9,$C70)+AN70+MIN(AC70*INDEX(Routes!$T$6:$T$9,$C70),INDEX(Routes!$V$6:$V$9,$C70))+INDEX(Routes!$O$6:$O$9,$C70)+AO70+MIN(AC70*INDEX(Routes!$U$6:$U$9,$C70),INDEX(Routes!$W$6:$W$9,$C70))+IF(P70=1,INDEX(Routes!$N$6:$N$9,$C70)+AN70+MIN(AD70*INDEX(Routes!$T$6:$T$9,$C70),INDEX(Routes!$V$6:$V$9,$C70))+INDEX(Routes!$O$6:$O$9,$C70)+AO70+MIN(AD70*INDEX(Routes!$U$6:$U$9,$C70),INDEX(Routes!$W$6:$W$9,$C70)),0))*J70</f>
        <v>248763.0192</v>
      </c>
      <c r="AA70" s="67" t="n">
        <f aca="false">INDEX(Routes!$R$6:$R$9,$C70)+IF(P70=1,INDEX(Routes!$R$6:$R$9,$C70),INDEX(Routes!$S$6:$S$9,$C70))</f>
        <v>0</v>
      </c>
      <c r="AB70" s="67" t="n">
        <f aca="false">((R70*CO2_VLSFO+S70*CO2_MGO)*INDEX(Routes!$I$6:$I$9,$C70)+(U70*INDEX(Routes!$P$6:$P$9,$C70)+V70*INDEX(Routes!$Q$6:$Q$9,$C70))*ConsPort*CO2_MGO)*PhaseIn*K70*FX</f>
        <v>123936.40875</v>
      </c>
      <c r="AC70" s="71" t="n">
        <f aca="false">Capacity*G70</f>
        <v>25200</v>
      </c>
      <c r="AD70" s="71" t="n">
        <f aca="false">Capacity*H70</f>
        <v>18000</v>
      </c>
      <c r="AE70" s="82" t="n">
        <f aca="false">INDEX(Routes!$J$6:$J$9,$C70)*E70</f>
        <v>52</v>
      </c>
      <c r="AF70" s="82" t="n">
        <f aca="false">INDEX(Routes!$K$6:$K$9,$C70)*E70</f>
        <v>38</v>
      </c>
      <c r="AG70" s="67" t="n">
        <f aca="false">AC70*AE70+AD70*AF70</f>
        <v>1994400</v>
      </c>
      <c r="AH70" s="67" t="n">
        <f aca="false">AG70*Commission</f>
        <v>49860</v>
      </c>
      <c r="AI70" s="67" t="n">
        <f aca="false">Y70+Z70+AA70+AB70+MiscVoy</f>
        <v>874963.42795</v>
      </c>
      <c r="AJ70" s="77" t="n">
        <f aca="false">N70+U70+V70+W70</f>
        <v>49.4074074074074</v>
      </c>
      <c r="AK70" s="94" t="n">
        <f aca="false">(AG70-AH70-AI70)/AJ70</f>
        <v>21648.1015332459</v>
      </c>
      <c r="AL70" s="67" t="n">
        <f aca="false">AG70-AH70-AI70-Benchmark*AJ70</f>
        <v>180243.238716667</v>
      </c>
      <c r="AM70" s="82" t="n">
        <f aca="false">IF(AC70&gt;0,((Benchmark*AJ70+AI70)/(1-Commission)-AD70*AF70)/AC70,0)</f>
        <v>44.6640928483245</v>
      </c>
      <c r="AN70" s="67" t="n">
        <f aca="false">LOA_ft*Port_Tariffs!$C$9*IF((INDEX(Routes!$L$6:$L$9,$C70)*INDEX(Routes!$X$6:$X$9,$C70)*F70)&lt;=2,(INDEX(Routes!$L$6:$L$9,$C70)*INDEX(Routes!$X$6:$X$9,$C70)*F70),IF((INDEX(Routes!$L$6:$L$9,$C70)*INDEX(Routes!$X$6:$X$9,$C70)*F70)&lt;=3,2+0.9*((INDEX(Routes!$L$6:$L$9,$C70)*INDEX(Routes!$X$6:$X$9,$C70)*F70)-2),IF((INDEX(Routes!$L$6:$L$9,$C70)*INDEX(Routes!$X$6:$X$9,$C70)*F70)&lt;=4,2.9+0.75*((INDEX(Routes!$L$6:$L$9,$C70)*INDEX(Routes!$X$6:$X$9,$C70)*F70)-3),IF((INDEX(Routes!$L$6:$L$9,$C70)*INDEX(Routes!$X$6:$X$9,$C70)*F70)&lt;=5,3.65+0.6*((INDEX(Routes!$L$6:$L$9,$C70)*INDEX(Routes!$X$6:$X$9,$C70)*F70)-4),4.25+0.5*((INDEX(Routes!$L$6:$L$9,$C70)*INDEX(Routes!$X$6:$X$9,$C70)*F70)-5)))))</f>
        <v>19557.6</v>
      </c>
      <c r="AO70" s="67" t="n">
        <f aca="false">LOA_ft*Port_Tariffs!$C$9*IF((INDEX(Routes!$M$6:$M$9,$C70)*INDEX(Routes!$Y$6:$Y$9,$C70)*F70)&lt;=2,(INDEX(Routes!$M$6:$M$9,$C70)*INDEX(Routes!$Y$6:$Y$9,$C70)*F70),IF((INDEX(Routes!$M$6:$M$9,$C70)*INDEX(Routes!$Y$6:$Y$9,$C70)*F70)&lt;=3,2+0.9*((INDEX(Routes!$M$6:$M$9,$C70)*INDEX(Routes!$Y$6:$Y$9,$C70)*F70)-2),IF((INDEX(Routes!$M$6:$M$9,$C70)*INDEX(Routes!$Y$6:$Y$9,$C70)*F70)&lt;=4,2.9+0.75*((INDEX(Routes!$M$6:$M$9,$C70)*INDEX(Routes!$Y$6:$Y$9,$C70)*F70)-3),IF((INDEX(Routes!$M$6:$M$9,$C70)*INDEX(Routes!$Y$6:$Y$9,$C70)*F70)&lt;=5,3.65+0.6*((INDEX(Routes!$M$6:$M$9,$C70)*INDEX(Routes!$Y$6:$Y$9,$C70)*F70)-4),4.25+0.5*((INDEX(Routes!$M$6:$M$9,$C70)*INDEX(Routes!$Y$6:$Y$9,$C70)*F70)-5)))))</f>
        <v>0</v>
      </c>
    </row>
    <row r="71" customFormat="false" ht="15" hidden="false" customHeight="false" outlineLevel="0" collapsed="false">
      <c r="A71" s="2" t="s">
        <v>566</v>
      </c>
      <c r="B71" s="2" t="s">
        <v>564</v>
      </c>
      <c r="C71" s="16" t="n">
        <f aca="false">Sw_Route</f>
        <v>1</v>
      </c>
      <c r="D71" s="70" t="n">
        <v>70</v>
      </c>
      <c r="E71" s="88" t="n">
        <f aca="false">FreightMult</f>
        <v>1</v>
      </c>
      <c r="F71" s="88" t="n">
        <f aca="false">PortMult</f>
        <v>1</v>
      </c>
      <c r="G71" s="59" t="n">
        <v>0.7</v>
      </c>
      <c r="H71" s="89" t="n">
        <f aca="false">UtilBH</f>
        <v>0.5</v>
      </c>
      <c r="I71" s="90" t="n">
        <f aca="false">Speed</f>
        <v>13.5</v>
      </c>
      <c r="J71" s="88" t="n">
        <f aca="false">PortCostMult</f>
        <v>1</v>
      </c>
      <c r="K71" s="90" t="n">
        <f aca="false">EUA</f>
        <v>75</v>
      </c>
      <c r="L71" s="71" t="n">
        <f aca="false">INDEX(Routes!$E$6:$E$9,$C71)</f>
        <v>5000</v>
      </c>
      <c r="M71" s="72" t="n">
        <f aca="false">INDEX(Routes!$F$6:$F$9,$C71)/L71</f>
        <v>0.13</v>
      </c>
      <c r="N71" s="77" t="n">
        <f aca="false">2*L71*(1+SeaMargin)/(I71*24)</f>
        <v>32.4074074074074</v>
      </c>
      <c r="O71" s="84" t="n">
        <f aca="false">(I71/RefSpeed)^SpeedExp</f>
        <v>1</v>
      </c>
      <c r="P71" s="2" t="n">
        <f aca="false">IF(H71&gt;0,1,0)</f>
        <v>1</v>
      </c>
      <c r="Q71" s="71" t="n">
        <f aca="false">N71/2*O71*(ConsLaden+IF(P71=1,ConsLaden,ConsBallast))</f>
        <v>875</v>
      </c>
      <c r="R71" s="71" t="n">
        <f aca="false">Q71*(1-M71)</f>
        <v>761.25</v>
      </c>
      <c r="S71" s="71" t="n">
        <f aca="false">Q71*M71</f>
        <v>113.75</v>
      </c>
      <c r="T71" s="2" t="n">
        <f aca="false">1+P71</f>
        <v>2</v>
      </c>
      <c r="U71" s="77" t="n">
        <f aca="false">INDEX(Routes!$L$6:$L$9,$C71)*T71*F71</f>
        <v>10</v>
      </c>
      <c r="V71" s="77" t="n">
        <f aca="false">INDEX(Routes!$M$6:$M$9,$C71)*T71*F71</f>
        <v>7</v>
      </c>
      <c r="W71" s="77" t="n">
        <f aca="false">INDEX(Routes!$H$6:$H$9,$C71)*2</f>
        <v>0</v>
      </c>
      <c r="X71" s="71" t="n">
        <f aca="false">(U71+V71+W71)*ConsPort</f>
        <v>102</v>
      </c>
      <c r="Y71" s="67" t="n">
        <f aca="false">R71*D71*VLSFO_Mult+(S71+X71)*D71*MGO_Mult</f>
        <v>556808</v>
      </c>
      <c r="Z71" s="67" t="n">
        <f aca="false">(INDEX(Routes!$N$6:$N$9,$C71)+AN71+MIN(AC71*INDEX(Routes!$T$6:$T$9,$C71),INDEX(Routes!$V$6:$V$9,$C71))+INDEX(Routes!$O$6:$O$9,$C71)+AO71+MIN(AC71*INDEX(Routes!$U$6:$U$9,$C71),INDEX(Routes!$W$6:$W$9,$C71))+IF(P71=1,INDEX(Routes!$N$6:$N$9,$C71)+AN71+MIN(AD71*INDEX(Routes!$T$6:$T$9,$C71),INDEX(Routes!$V$6:$V$9,$C71))+INDEX(Routes!$O$6:$O$9,$C71)+AO71+MIN(AD71*INDEX(Routes!$U$6:$U$9,$C71),INDEX(Routes!$W$6:$W$9,$C71)),0))*J71</f>
        <v>248763.0192</v>
      </c>
      <c r="AA71" s="67" t="n">
        <f aca="false">INDEX(Routes!$R$6:$R$9,$C71)+IF(P71=1,INDEX(Routes!$R$6:$R$9,$C71),INDEX(Routes!$S$6:$S$9,$C71))</f>
        <v>0</v>
      </c>
      <c r="AB71" s="67" t="n">
        <f aca="false">((R71*CO2_VLSFO+S71*CO2_MGO)*INDEX(Routes!$I$6:$I$9,$C71)+(U71*INDEX(Routes!$P$6:$P$9,$C71)+V71*INDEX(Routes!$Q$6:$Q$9,$C71))*ConsPort*CO2_MGO)*PhaseIn*K71*FX</f>
        <v>123936.40875</v>
      </c>
      <c r="AC71" s="71" t="n">
        <f aca="false">Capacity*G71</f>
        <v>25200</v>
      </c>
      <c r="AD71" s="71" t="n">
        <f aca="false">Capacity*H71</f>
        <v>18000</v>
      </c>
      <c r="AE71" s="82" t="n">
        <f aca="false">INDEX(Routes!$J$6:$J$9,$C71)*E71</f>
        <v>52</v>
      </c>
      <c r="AF71" s="82" t="n">
        <f aca="false">INDEX(Routes!$K$6:$K$9,$C71)*E71</f>
        <v>38</v>
      </c>
      <c r="AG71" s="67" t="n">
        <f aca="false">AC71*AE71+AD71*AF71</f>
        <v>1994400</v>
      </c>
      <c r="AH71" s="67" t="n">
        <f aca="false">AG71*Commission</f>
        <v>49860</v>
      </c>
      <c r="AI71" s="67" t="n">
        <f aca="false">Y71+Z71+AA71+AB71+MiscVoy</f>
        <v>954507.42795</v>
      </c>
      <c r="AJ71" s="77" t="n">
        <f aca="false">N71+U71+V71+W71</f>
        <v>49.4074074074074</v>
      </c>
      <c r="AK71" s="94" t="n">
        <f aca="false">(AG71-AH71-AI71)/AJ71</f>
        <v>20038.1405137556</v>
      </c>
      <c r="AL71" s="67" t="n">
        <f aca="false">AG71-AH71-AI71-Benchmark*AJ71</f>
        <v>100699.238716667</v>
      </c>
      <c r="AM71" s="82" t="n">
        <f aca="false">IF(AC71&gt;0,((Benchmark*AJ71+AI71)/(1-Commission)-AD71*AF71)/AC71,0)</f>
        <v>47.9015368857686</v>
      </c>
      <c r="AN71" s="67" t="n">
        <f aca="false">LOA_ft*Port_Tariffs!$C$9*IF((INDEX(Routes!$L$6:$L$9,$C71)*INDEX(Routes!$X$6:$X$9,$C71)*F71)&lt;=2,(INDEX(Routes!$L$6:$L$9,$C71)*INDEX(Routes!$X$6:$X$9,$C71)*F71),IF((INDEX(Routes!$L$6:$L$9,$C71)*INDEX(Routes!$X$6:$X$9,$C71)*F71)&lt;=3,2+0.9*((INDEX(Routes!$L$6:$L$9,$C71)*INDEX(Routes!$X$6:$X$9,$C71)*F71)-2),IF((INDEX(Routes!$L$6:$L$9,$C71)*INDEX(Routes!$X$6:$X$9,$C71)*F71)&lt;=4,2.9+0.75*((INDEX(Routes!$L$6:$L$9,$C71)*INDEX(Routes!$X$6:$X$9,$C71)*F71)-3),IF((INDEX(Routes!$L$6:$L$9,$C71)*INDEX(Routes!$X$6:$X$9,$C71)*F71)&lt;=5,3.65+0.6*((INDEX(Routes!$L$6:$L$9,$C71)*INDEX(Routes!$X$6:$X$9,$C71)*F71)-4),4.25+0.5*((INDEX(Routes!$L$6:$L$9,$C71)*INDEX(Routes!$X$6:$X$9,$C71)*F71)-5)))))</f>
        <v>19557.6</v>
      </c>
      <c r="AO71" s="67" t="n">
        <f aca="false">LOA_ft*Port_Tariffs!$C$9*IF((INDEX(Routes!$M$6:$M$9,$C71)*INDEX(Routes!$Y$6:$Y$9,$C71)*F71)&lt;=2,(INDEX(Routes!$M$6:$M$9,$C71)*INDEX(Routes!$Y$6:$Y$9,$C71)*F71),IF((INDEX(Routes!$M$6:$M$9,$C71)*INDEX(Routes!$Y$6:$Y$9,$C71)*F71)&lt;=3,2+0.9*((INDEX(Routes!$M$6:$M$9,$C71)*INDEX(Routes!$Y$6:$Y$9,$C71)*F71)-2),IF((INDEX(Routes!$M$6:$M$9,$C71)*INDEX(Routes!$Y$6:$Y$9,$C71)*F71)&lt;=4,2.9+0.75*((INDEX(Routes!$M$6:$M$9,$C71)*INDEX(Routes!$Y$6:$Y$9,$C71)*F71)-3),IF((INDEX(Routes!$M$6:$M$9,$C71)*INDEX(Routes!$Y$6:$Y$9,$C71)*F71)&lt;=5,3.65+0.6*((INDEX(Routes!$M$6:$M$9,$C71)*INDEX(Routes!$Y$6:$Y$9,$C71)*F71)-4),4.25+0.5*((INDEX(Routes!$M$6:$M$9,$C71)*INDEX(Routes!$Y$6:$Y$9,$C71)*F71)-5)))))</f>
        <v>0</v>
      </c>
    </row>
    <row r="72" customFormat="false" ht="15" hidden="false" customHeight="false" outlineLevel="0" collapsed="false">
      <c r="A72" s="2" t="s">
        <v>567</v>
      </c>
      <c r="B72" s="2" t="s">
        <v>564</v>
      </c>
      <c r="C72" s="16" t="n">
        <f aca="false">Sw_Route</f>
        <v>1</v>
      </c>
      <c r="D72" s="70" t="n">
        <v>80</v>
      </c>
      <c r="E72" s="88" t="n">
        <f aca="false">FreightMult</f>
        <v>1</v>
      </c>
      <c r="F72" s="88" t="n">
        <f aca="false">PortMult</f>
        <v>1</v>
      </c>
      <c r="G72" s="59" t="n">
        <v>0.7</v>
      </c>
      <c r="H72" s="89" t="n">
        <f aca="false">UtilBH</f>
        <v>0.5</v>
      </c>
      <c r="I72" s="90" t="n">
        <f aca="false">Speed</f>
        <v>13.5</v>
      </c>
      <c r="J72" s="88" t="n">
        <f aca="false">PortCostMult</f>
        <v>1</v>
      </c>
      <c r="K72" s="90" t="n">
        <f aca="false">EUA</f>
        <v>75</v>
      </c>
      <c r="L72" s="71" t="n">
        <f aca="false">INDEX(Routes!$E$6:$E$9,$C72)</f>
        <v>5000</v>
      </c>
      <c r="M72" s="72" t="n">
        <f aca="false">INDEX(Routes!$F$6:$F$9,$C72)/L72</f>
        <v>0.13</v>
      </c>
      <c r="N72" s="77" t="n">
        <f aca="false">2*L72*(1+SeaMargin)/(I72*24)</f>
        <v>32.4074074074074</v>
      </c>
      <c r="O72" s="84" t="n">
        <f aca="false">(I72/RefSpeed)^SpeedExp</f>
        <v>1</v>
      </c>
      <c r="P72" s="2" t="n">
        <f aca="false">IF(H72&gt;0,1,0)</f>
        <v>1</v>
      </c>
      <c r="Q72" s="71" t="n">
        <f aca="false">N72/2*O72*(ConsLaden+IF(P72=1,ConsLaden,ConsBallast))</f>
        <v>875</v>
      </c>
      <c r="R72" s="71" t="n">
        <f aca="false">Q72*(1-M72)</f>
        <v>761.25</v>
      </c>
      <c r="S72" s="71" t="n">
        <f aca="false">Q72*M72</f>
        <v>113.75</v>
      </c>
      <c r="T72" s="2" t="n">
        <f aca="false">1+P72</f>
        <v>2</v>
      </c>
      <c r="U72" s="77" t="n">
        <f aca="false">INDEX(Routes!$L$6:$L$9,$C72)*T72*F72</f>
        <v>10</v>
      </c>
      <c r="V72" s="77" t="n">
        <f aca="false">INDEX(Routes!$M$6:$M$9,$C72)*T72*F72</f>
        <v>7</v>
      </c>
      <c r="W72" s="77" t="n">
        <f aca="false">INDEX(Routes!$H$6:$H$9,$C72)*2</f>
        <v>0</v>
      </c>
      <c r="X72" s="71" t="n">
        <f aca="false">(U72+V72+W72)*ConsPort</f>
        <v>102</v>
      </c>
      <c r="Y72" s="67" t="n">
        <f aca="false">R72*D72*VLSFO_Mult+(S72+X72)*D72*MGO_Mult</f>
        <v>636352</v>
      </c>
      <c r="Z72" s="67" t="n">
        <f aca="false">(INDEX(Routes!$N$6:$N$9,$C72)+AN72+MIN(AC72*INDEX(Routes!$T$6:$T$9,$C72),INDEX(Routes!$V$6:$V$9,$C72))+INDEX(Routes!$O$6:$O$9,$C72)+AO72+MIN(AC72*INDEX(Routes!$U$6:$U$9,$C72),INDEX(Routes!$W$6:$W$9,$C72))+IF(P72=1,INDEX(Routes!$N$6:$N$9,$C72)+AN72+MIN(AD72*INDEX(Routes!$T$6:$T$9,$C72),INDEX(Routes!$V$6:$V$9,$C72))+INDEX(Routes!$O$6:$O$9,$C72)+AO72+MIN(AD72*INDEX(Routes!$U$6:$U$9,$C72),INDEX(Routes!$W$6:$W$9,$C72)),0))*J72</f>
        <v>248763.0192</v>
      </c>
      <c r="AA72" s="67" t="n">
        <f aca="false">INDEX(Routes!$R$6:$R$9,$C72)+IF(P72=1,INDEX(Routes!$R$6:$R$9,$C72),INDEX(Routes!$S$6:$S$9,$C72))</f>
        <v>0</v>
      </c>
      <c r="AB72" s="67" t="n">
        <f aca="false">((R72*CO2_VLSFO+S72*CO2_MGO)*INDEX(Routes!$I$6:$I$9,$C72)+(U72*INDEX(Routes!$P$6:$P$9,$C72)+V72*INDEX(Routes!$Q$6:$Q$9,$C72))*ConsPort*CO2_MGO)*PhaseIn*K72*FX</f>
        <v>123936.40875</v>
      </c>
      <c r="AC72" s="71" t="n">
        <f aca="false">Capacity*G72</f>
        <v>25200</v>
      </c>
      <c r="AD72" s="71" t="n">
        <f aca="false">Capacity*H72</f>
        <v>18000</v>
      </c>
      <c r="AE72" s="82" t="n">
        <f aca="false">INDEX(Routes!$J$6:$J$9,$C72)*E72</f>
        <v>52</v>
      </c>
      <c r="AF72" s="82" t="n">
        <f aca="false">INDEX(Routes!$K$6:$K$9,$C72)*E72</f>
        <v>38</v>
      </c>
      <c r="AG72" s="67" t="n">
        <f aca="false">AC72*AE72+AD72*AF72</f>
        <v>1994400</v>
      </c>
      <c r="AH72" s="67" t="n">
        <f aca="false">AG72*Commission</f>
        <v>49860</v>
      </c>
      <c r="AI72" s="67" t="n">
        <f aca="false">Y72+Z72+AA72+AB72+MiscVoy</f>
        <v>1034051.42795</v>
      </c>
      <c r="AJ72" s="77" t="n">
        <f aca="false">N72+U72+V72+W72</f>
        <v>49.4074074074074</v>
      </c>
      <c r="AK72" s="94" t="n">
        <f aca="false">(AG72-AH72-AI72)/AJ72</f>
        <v>18428.1794942654</v>
      </c>
      <c r="AL72" s="67" t="n">
        <f aca="false">AG72-AH72-AI72-Benchmark*AJ72</f>
        <v>21155.2387166668</v>
      </c>
      <c r="AM72" s="82" t="n">
        <f aca="false">IF(AC72&gt;0,((Benchmark*AJ72+AI72)/(1-Commission)-AD72*AF72)/AC72,0)</f>
        <v>51.1389809232126</v>
      </c>
      <c r="AN72" s="67" t="n">
        <f aca="false">LOA_ft*Port_Tariffs!$C$9*IF((INDEX(Routes!$L$6:$L$9,$C72)*INDEX(Routes!$X$6:$X$9,$C72)*F72)&lt;=2,(INDEX(Routes!$L$6:$L$9,$C72)*INDEX(Routes!$X$6:$X$9,$C72)*F72),IF((INDEX(Routes!$L$6:$L$9,$C72)*INDEX(Routes!$X$6:$X$9,$C72)*F72)&lt;=3,2+0.9*((INDEX(Routes!$L$6:$L$9,$C72)*INDEX(Routes!$X$6:$X$9,$C72)*F72)-2),IF((INDEX(Routes!$L$6:$L$9,$C72)*INDEX(Routes!$X$6:$X$9,$C72)*F72)&lt;=4,2.9+0.75*((INDEX(Routes!$L$6:$L$9,$C72)*INDEX(Routes!$X$6:$X$9,$C72)*F72)-3),IF((INDEX(Routes!$L$6:$L$9,$C72)*INDEX(Routes!$X$6:$X$9,$C72)*F72)&lt;=5,3.65+0.6*((INDEX(Routes!$L$6:$L$9,$C72)*INDEX(Routes!$X$6:$X$9,$C72)*F72)-4),4.25+0.5*((INDEX(Routes!$L$6:$L$9,$C72)*INDEX(Routes!$X$6:$X$9,$C72)*F72)-5)))))</f>
        <v>19557.6</v>
      </c>
      <c r="AO72" s="67" t="n">
        <f aca="false">LOA_ft*Port_Tariffs!$C$9*IF((INDEX(Routes!$M$6:$M$9,$C72)*INDEX(Routes!$Y$6:$Y$9,$C72)*F72)&lt;=2,(INDEX(Routes!$M$6:$M$9,$C72)*INDEX(Routes!$Y$6:$Y$9,$C72)*F72),IF((INDEX(Routes!$M$6:$M$9,$C72)*INDEX(Routes!$Y$6:$Y$9,$C72)*F72)&lt;=3,2+0.9*((INDEX(Routes!$M$6:$M$9,$C72)*INDEX(Routes!$Y$6:$Y$9,$C72)*F72)-2),IF((INDEX(Routes!$M$6:$M$9,$C72)*INDEX(Routes!$Y$6:$Y$9,$C72)*F72)&lt;=4,2.9+0.75*((INDEX(Routes!$M$6:$M$9,$C72)*INDEX(Routes!$Y$6:$Y$9,$C72)*F72)-3),IF((INDEX(Routes!$M$6:$M$9,$C72)*INDEX(Routes!$Y$6:$Y$9,$C72)*F72)&lt;=5,3.65+0.6*((INDEX(Routes!$M$6:$M$9,$C72)*INDEX(Routes!$Y$6:$Y$9,$C72)*F72)-4),4.25+0.5*((INDEX(Routes!$M$6:$M$9,$C72)*INDEX(Routes!$Y$6:$Y$9,$C72)*F72)-5)))))</f>
        <v>0</v>
      </c>
    </row>
    <row r="73" customFormat="false" ht="15" hidden="false" customHeight="false" outlineLevel="0" collapsed="false">
      <c r="A73" s="2" t="s">
        <v>568</v>
      </c>
      <c r="B73" s="2" t="s">
        <v>564</v>
      </c>
      <c r="C73" s="16" t="n">
        <f aca="false">Sw_Route</f>
        <v>1</v>
      </c>
      <c r="D73" s="70" t="n">
        <v>90</v>
      </c>
      <c r="E73" s="88" t="n">
        <f aca="false">FreightMult</f>
        <v>1</v>
      </c>
      <c r="F73" s="88" t="n">
        <f aca="false">PortMult</f>
        <v>1</v>
      </c>
      <c r="G73" s="59" t="n">
        <v>0.7</v>
      </c>
      <c r="H73" s="89" t="n">
        <f aca="false">UtilBH</f>
        <v>0.5</v>
      </c>
      <c r="I73" s="90" t="n">
        <f aca="false">Speed</f>
        <v>13.5</v>
      </c>
      <c r="J73" s="88" t="n">
        <f aca="false">PortCostMult</f>
        <v>1</v>
      </c>
      <c r="K73" s="90" t="n">
        <f aca="false">EUA</f>
        <v>75</v>
      </c>
      <c r="L73" s="71" t="n">
        <f aca="false">INDEX(Routes!$E$6:$E$9,$C73)</f>
        <v>5000</v>
      </c>
      <c r="M73" s="72" t="n">
        <f aca="false">INDEX(Routes!$F$6:$F$9,$C73)/L73</f>
        <v>0.13</v>
      </c>
      <c r="N73" s="77" t="n">
        <f aca="false">2*L73*(1+SeaMargin)/(I73*24)</f>
        <v>32.4074074074074</v>
      </c>
      <c r="O73" s="84" t="n">
        <f aca="false">(I73/RefSpeed)^SpeedExp</f>
        <v>1</v>
      </c>
      <c r="P73" s="2" t="n">
        <f aca="false">IF(H73&gt;0,1,0)</f>
        <v>1</v>
      </c>
      <c r="Q73" s="71" t="n">
        <f aca="false">N73/2*O73*(ConsLaden+IF(P73=1,ConsLaden,ConsBallast))</f>
        <v>875</v>
      </c>
      <c r="R73" s="71" t="n">
        <f aca="false">Q73*(1-M73)</f>
        <v>761.25</v>
      </c>
      <c r="S73" s="71" t="n">
        <f aca="false">Q73*M73</f>
        <v>113.75</v>
      </c>
      <c r="T73" s="2" t="n">
        <f aca="false">1+P73</f>
        <v>2</v>
      </c>
      <c r="U73" s="77" t="n">
        <f aca="false">INDEX(Routes!$L$6:$L$9,$C73)*T73*F73</f>
        <v>10</v>
      </c>
      <c r="V73" s="77" t="n">
        <f aca="false">INDEX(Routes!$M$6:$M$9,$C73)*T73*F73</f>
        <v>7</v>
      </c>
      <c r="W73" s="77" t="n">
        <f aca="false">INDEX(Routes!$H$6:$H$9,$C73)*2</f>
        <v>0</v>
      </c>
      <c r="X73" s="71" t="n">
        <f aca="false">(U73+V73+W73)*ConsPort</f>
        <v>102</v>
      </c>
      <c r="Y73" s="67" t="n">
        <f aca="false">R73*D73*VLSFO_Mult+(S73+X73)*D73*MGO_Mult</f>
        <v>715896</v>
      </c>
      <c r="Z73" s="67" t="n">
        <f aca="false">(INDEX(Routes!$N$6:$N$9,$C73)+AN73+MIN(AC73*INDEX(Routes!$T$6:$T$9,$C73),INDEX(Routes!$V$6:$V$9,$C73))+INDEX(Routes!$O$6:$O$9,$C73)+AO73+MIN(AC73*INDEX(Routes!$U$6:$U$9,$C73),INDEX(Routes!$W$6:$W$9,$C73))+IF(P73=1,INDEX(Routes!$N$6:$N$9,$C73)+AN73+MIN(AD73*INDEX(Routes!$T$6:$T$9,$C73),INDEX(Routes!$V$6:$V$9,$C73))+INDEX(Routes!$O$6:$O$9,$C73)+AO73+MIN(AD73*INDEX(Routes!$U$6:$U$9,$C73),INDEX(Routes!$W$6:$W$9,$C73)),0))*J73</f>
        <v>248763.0192</v>
      </c>
      <c r="AA73" s="67" t="n">
        <f aca="false">INDEX(Routes!$R$6:$R$9,$C73)+IF(P73=1,INDEX(Routes!$R$6:$R$9,$C73),INDEX(Routes!$S$6:$S$9,$C73))</f>
        <v>0</v>
      </c>
      <c r="AB73" s="67" t="n">
        <f aca="false">((R73*CO2_VLSFO+S73*CO2_MGO)*INDEX(Routes!$I$6:$I$9,$C73)+(U73*INDEX(Routes!$P$6:$P$9,$C73)+V73*INDEX(Routes!$Q$6:$Q$9,$C73))*ConsPort*CO2_MGO)*PhaseIn*K73*FX</f>
        <v>123936.40875</v>
      </c>
      <c r="AC73" s="71" t="n">
        <f aca="false">Capacity*G73</f>
        <v>25200</v>
      </c>
      <c r="AD73" s="71" t="n">
        <f aca="false">Capacity*H73</f>
        <v>18000</v>
      </c>
      <c r="AE73" s="82" t="n">
        <f aca="false">INDEX(Routes!$J$6:$J$9,$C73)*E73</f>
        <v>52</v>
      </c>
      <c r="AF73" s="82" t="n">
        <f aca="false">INDEX(Routes!$K$6:$K$9,$C73)*E73</f>
        <v>38</v>
      </c>
      <c r="AG73" s="67" t="n">
        <f aca="false">AC73*AE73+AD73*AF73</f>
        <v>1994400</v>
      </c>
      <c r="AH73" s="67" t="n">
        <f aca="false">AG73*Commission</f>
        <v>49860</v>
      </c>
      <c r="AI73" s="67" t="n">
        <f aca="false">Y73+Z73+AA73+AB73+MiscVoy</f>
        <v>1113595.42795</v>
      </c>
      <c r="AJ73" s="77" t="n">
        <f aca="false">N73+U73+V73+W73</f>
        <v>49.4074074074074</v>
      </c>
      <c r="AK73" s="94" t="n">
        <f aca="false">(AG73-AH73-AI73)/AJ73</f>
        <v>16818.2184747751</v>
      </c>
      <c r="AL73" s="67" t="n">
        <f aca="false">AG73-AH73-AI73-Benchmark*AJ73</f>
        <v>-58388.7612833332</v>
      </c>
      <c r="AM73" s="82" t="n">
        <f aca="false">IF(AC73&gt;0,((Benchmark*AJ73+AI73)/(1-Commission)-AD73*AF73)/AC73,0)</f>
        <v>54.3764249606566</v>
      </c>
      <c r="AN73" s="67" t="n">
        <f aca="false">LOA_ft*Port_Tariffs!$C$9*IF((INDEX(Routes!$L$6:$L$9,$C73)*INDEX(Routes!$X$6:$X$9,$C73)*F73)&lt;=2,(INDEX(Routes!$L$6:$L$9,$C73)*INDEX(Routes!$X$6:$X$9,$C73)*F73),IF((INDEX(Routes!$L$6:$L$9,$C73)*INDEX(Routes!$X$6:$X$9,$C73)*F73)&lt;=3,2+0.9*((INDEX(Routes!$L$6:$L$9,$C73)*INDEX(Routes!$X$6:$X$9,$C73)*F73)-2),IF((INDEX(Routes!$L$6:$L$9,$C73)*INDEX(Routes!$X$6:$X$9,$C73)*F73)&lt;=4,2.9+0.75*((INDEX(Routes!$L$6:$L$9,$C73)*INDEX(Routes!$X$6:$X$9,$C73)*F73)-3),IF((INDEX(Routes!$L$6:$L$9,$C73)*INDEX(Routes!$X$6:$X$9,$C73)*F73)&lt;=5,3.65+0.6*((INDEX(Routes!$L$6:$L$9,$C73)*INDEX(Routes!$X$6:$X$9,$C73)*F73)-4),4.25+0.5*((INDEX(Routes!$L$6:$L$9,$C73)*INDEX(Routes!$X$6:$X$9,$C73)*F73)-5)))))</f>
        <v>19557.6</v>
      </c>
      <c r="AO73" s="67" t="n">
        <f aca="false">LOA_ft*Port_Tariffs!$C$9*IF((INDEX(Routes!$M$6:$M$9,$C73)*INDEX(Routes!$Y$6:$Y$9,$C73)*F73)&lt;=2,(INDEX(Routes!$M$6:$M$9,$C73)*INDEX(Routes!$Y$6:$Y$9,$C73)*F73),IF((INDEX(Routes!$M$6:$M$9,$C73)*INDEX(Routes!$Y$6:$Y$9,$C73)*F73)&lt;=3,2+0.9*((INDEX(Routes!$M$6:$M$9,$C73)*INDEX(Routes!$Y$6:$Y$9,$C73)*F73)-2),IF((INDEX(Routes!$M$6:$M$9,$C73)*INDEX(Routes!$Y$6:$Y$9,$C73)*F73)&lt;=4,2.9+0.75*((INDEX(Routes!$M$6:$M$9,$C73)*INDEX(Routes!$Y$6:$Y$9,$C73)*F73)-3),IF((INDEX(Routes!$M$6:$M$9,$C73)*INDEX(Routes!$Y$6:$Y$9,$C73)*F73)&lt;=5,3.65+0.6*((INDEX(Routes!$M$6:$M$9,$C73)*INDEX(Routes!$Y$6:$Y$9,$C73)*F73)-4),4.25+0.5*((INDEX(Routes!$M$6:$M$9,$C73)*INDEX(Routes!$Y$6:$Y$9,$C73)*F73)-5)))))</f>
        <v>0</v>
      </c>
    </row>
    <row r="74" customFormat="false" ht="15" hidden="false" customHeight="false" outlineLevel="0" collapsed="false">
      <c r="A74" s="2" t="s">
        <v>569</v>
      </c>
      <c r="B74" s="2" t="s">
        <v>564</v>
      </c>
      <c r="C74" s="16" t="n">
        <f aca="false">Sw_Route</f>
        <v>1</v>
      </c>
      <c r="D74" s="70" t="n">
        <v>100</v>
      </c>
      <c r="E74" s="88" t="n">
        <f aca="false">FreightMult</f>
        <v>1</v>
      </c>
      <c r="F74" s="88" t="n">
        <f aca="false">PortMult</f>
        <v>1</v>
      </c>
      <c r="G74" s="59" t="n">
        <v>0.7</v>
      </c>
      <c r="H74" s="89" t="n">
        <f aca="false">UtilBH</f>
        <v>0.5</v>
      </c>
      <c r="I74" s="90" t="n">
        <f aca="false">Speed</f>
        <v>13.5</v>
      </c>
      <c r="J74" s="88" t="n">
        <f aca="false">PortCostMult</f>
        <v>1</v>
      </c>
      <c r="K74" s="90" t="n">
        <f aca="false">EUA</f>
        <v>75</v>
      </c>
      <c r="L74" s="71" t="n">
        <f aca="false">INDEX(Routes!$E$6:$E$9,$C74)</f>
        <v>5000</v>
      </c>
      <c r="M74" s="72" t="n">
        <f aca="false">INDEX(Routes!$F$6:$F$9,$C74)/L74</f>
        <v>0.13</v>
      </c>
      <c r="N74" s="77" t="n">
        <f aca="false">2*L74*(1+SeaMargin)/(I74*24)</f>
        <v>32.4074074074074</v>
      </c>
      <c r="O74" s="84" t="n">
        <f aca="false">(I74/RefSpeed)^SpeedExp</f>
        <v>1</v>
      </c>
      <c r="P74" s="2" t="n">
        <f aca="false">IF(H74&gt;0,1,0)</f>
        <v>1</v>
      </c>
      <c r="Q74" s="71" t="n">
        <f aca="false">N74/2*O74*(ConsLaden+IF(P74=1,ConsLaden,ConsBallast))</f>
        <v>875</v>
      </c>
      <c r="R74" s="71" t="n">
        <f aca="false">Q74*(1-M74)</f>
        <v>761.25</v>
      </c>
      <c r="S74" s="71" t="n">
        <f aca="false">Q74*M74</f>
        <v>113.75</v>
      </c>
      <c r="T74" s="2" t="n">
        <f aca="false">1+P74</f>
        <v>2</v>
      </c>
      <c r="U74" s="77" t="n">
        <f aca="false">INDEX(Routes!$L$6:$L$9,$C74)*T74*F74</f>
        <v>10</v>
      </c>
      <c r="V74" s="77" t="n">
        <f aca="false">INDEX(Routes!$M$6:$M$9,$C74)*T74*F74</f>
        <v>7</v>
      </c>
      <c r="W74" s="77" t="n">
        <f aca="false">INDEX(Routes!$H$6:$H$9,$C74)*2</f>
        <v>0</v>
      </c>
      <c r="X74" s="71" t="n">
        <f aca="false">(U74+V74+W74)*ConsPort</f>
        <v>102</v>
      </c>
      <c r="Y74" s="67" t="n">
        <f aca="false">R74*D74*VLSFO_Mult+(S74+X74)*D74*MGO_Mult</f>
        <v>795440</v>
      </c>
      <c r="Z74" s="67" t="n">
        <f aca="false">(INDEX(Routes!$N$6:$N$9,$C74)+AN74+MIN(AC74*INDEX(Routes!$T$6:$T$9,$C74),INDEX(Routes!$V$6:$V$9,$C74))+INDEX(Routes!$O$6:$O$9,$C74)+AO74+MIN(AC74*INDEX(Routes!$U$6:$U$9,$C74),INDEX(Routes!$W$6:$W$9,$C74))+IF(P74=1,INDEX(Routes!$N$6:$N$9,$C74)+AN74+MIN(AD74*INDEX(Routes!$T$6:$T$9,$C74),INDEX(Routes!$V$6:$V$9,$C74))+INDEX(Routes!$O$6:$O$9,$C74)+AO74+MIN(AD74*INDEX(Routes!$U$6:$U$9,$C74),INDEX(Routes!$W$6:$W$9,$C74)),0))*J74</f>
        <v>248763.0192</v>
      </c>
      <c r="AA74" s="67" t="n">
        <f aca="false">INDEX(Routes!$R$6:$R$9,$C74)+IF(P74=1,INDEX(Routes!$R$6:$R$9,$C74),INDEX(Routes!$S$6:$S$9,$C74))</f>
        <v>0</v>
      </c>
      <c r="AB74" s="67" t="n">
        <f aca="false">((R74*CO2_VLSFO+S74*CO2_MGO)*INDEX(Routes!$I$6:$I$9,$C74)+(U74*INDEX(Routes!$P$6:$P$9,$C74)+V74*INDEX(Routes!$Q$6:$Q$9,$C74))*ConsPort*CO2_MGO)*PhaseIn*K74*FX</f>
        <v>123936.40875</v>
      </c>
      <c r="AC74" s="71" t="n">
        <f aca="false">Capacity*G74</f>
        <v>25200</v>
      </c>
      <c r="AD74" s="71" t="n">
        <f aca="false">Capacity*H74</f>
        <v>18000</v>
      </c>
      <c r="AE74" s="82" t="n">
        <f aca="false">INDEX(Routes!$J$6:$J$9,$C74)*E74</f>
        <v>52</v>
      </c>
      <c r="AF74" s="82" t="n">
        <f aca="false">INDEX(Routes!$K$6:$K$9,$C74)*E74</f>
        <v>38</v>
      </c>
      <c r="AG74" s="67" t="n">
        <f aca="false">AC74*AE74+AD74*AF74</f>
        <v>1994400</v>
      </c>
      <c r="AH74" s="67" t="n">
        <f aca="false">AG74*Commission</f>
        <v>49860</v>
      </c>
      <c r="AI74" s="67" t="n">
        <f aca="false">Y74+Z74+AA74+AB74+MiscVoy</f>
        <v>1193139.42795</v>
      </c>
      <c r="AJ74" s="77" t="n">
        <f aca="false">N74+U74+V74+W74</f>
        <v>49.4074074074074</v>
      </c>
      <c r="AK74" s="94" t="n">
        <f aca="false">(AG74-AH74-AI74)/AJ74</f>
        <v>15208.2574552849</v>
      </c>
      <c r="AL74" s="67" t="n">
        <f aca="false">AG74-AH74-AI74-Benchmark*AJ74</f>
        <v>-137932.761283333</v>
      </c>
      <c r="AM74" s="82" t="n">
        <f aca="false">IF(AC74&gt;0,((Benchmark*AJ74+AI74)/(1-Commission)-AD74*AF74)/AC74,0)</f>
        <v>57.6138689981007</v>
      </c>
      <c r="AN74" s="67" t="n">
        <f aca="false">LOA_ft*Port_Tariffs!$C$9*IF((INDEX(Routes!$L$6:$L$9,$C74)*INDEX(Routes!$X$6:$X$9,$C74)*F74)&lt;=2,(INDEX(Routes!$L$6:$L$9,$C74)*INDEX(Routes!$X$6:$X$9,$C74)*F74),IF((INDEX(Routes!$L$6:$L$9,$C74)*INDEX(Routes!$X$6:$X$9,$C74)*F74)&lt;=3,2+0.9*((INDEX(Routes!$L$6:$L$9,$C74)*INDEX(Routes!$X$6:$X$9,$C74)*F74)-2),IF((INDEX(Routes!$L$6:$L$9,$C74)*INDEX(Routes!$X$6:$X$9,$C74)*F74)&lt;=4,2.9+0.75*((INDEX(Routes!$L$6:$L$9,$C74)*INDEX(Routes!$X$6:$X$9,$C74)*F74)-3),IF((INDEX(Routes!$L$6:$L$9,$C74)*INDEX(Routes!$X$6:$X$9,$C74)*F74)&lt;=5,3.65+0.6*((INDEX(Routes!$L$6:$L$9,$C74)*INDEX(Routes!$X$6:$X$9,$C74)*F74)-4),4.25+0.5*((INDEX(Routes!$L$6:$L$9,$C74)*INDEX(Routes!$X$6:$X$9,$C74)*F74)-5)))))</f>
        <v>19557.6</v>
      </c>
      <c r="AO74" s="67" t="n">
        <f aca="false">LOA_ft*Port_Tariffs!$C$9*IF((INDEX(Routes!$M$6:$M$9,$C74)*INDEX(Routes!$Y$6:$Y$9,$C74)*F74)&lt;=2,(INDEX(Routes!$M$6:$M$9,$C74)*INDEX(Routes!$Y$6:$Y$9,$C74)*F74),IF((INDEX(Routes!$M$6:$M$9,$C74)*INDEX(Routes!$Y$6:$Y$9,$C74)*F74)&lt;=3,2+0.9*((INDEX(Routes!$M$6:$M$9,$C74)*INDEX(Routes!$Y$6:$Y$9,$C74)*F74)-2),IF((INDEX(Routes!$M$6:$M$9,$C74)*INDEX(Routes!$Y$6:$Y$9,$C74)*F74)&lt;=4,2.9+0.75*((INDEX(Routes!$M$6:$M$9,$C74)*INDEX(Routes!$Y$6:$Y$9,$C74)*F74)-3),IF((INDEX(Routes!$M$6:$M$9,$C74)*INDEX(Routes!$Y$6:$Y$9,$C74)*F74)&lt;=5,3.65+0.6*((INDEX(Routes!$M$6:$M$9,$C74)*INDEX(Routes!$Y$6:$Y$9,$C74)*F74)-4),4.25+0.5*((INDEX(Routes!$M$6:$M$9,$C74)*INDEX(Routes!$Y$6:$Y$9,$C74)*F74)-5)))))</f>
        <v>0</v>
      </c>
    </row>
    <row r="75" customFormat="false" ht="15" hidden="false" customHeight="false" outlineLevel="0" collapsed="false">
      <c r="A75" s="2" t="s">
        <v>570</v>
      </c>
      <c r="B75" s="2" t="s">
        <v>564</v>
      </c>
      <c r="C75" s="16" t="n">
        <f aca="false">Sw_Route</f>
        <v>1</v>
      </c>
      <c r="D75" s="70" t="n">
        <v>110</v>
      </c>
      <c r="E75" s="88" t="n">
        <f aca="false">FreightMult</f>
        <v>1</v>
      </c>
      <c r="F75" s="88" t="n">
        <f aca="false">PortMult</f>
        <v>1</v>
      </c>
      <c r="G75" s="59" t="n">
        <v>0.7</v>
      </c>
      <c r="H75" s="89" t="n">
        <f aca="false">UtilBH</f>
        <v>0.5</v>
      </c>
      <c r="I75" s="90" t="n">
        <f aca="false">Speed</f>
        <v>13.5</v>
      </c>
      <c r="J75" s="88" t="n">
        <f aca="false">PortCostMult</f>
        <v>1</v>
      </c>
      <c r="K75" s="90" t="n">
        <f aca="false">EUA</f>
        <v>75</v>
      </c>
      <c r="L75" s="71" t="n">
        <f aca="false">INDEX(Routes!$E$6:$E$9,$C75)</f>
        <v>5000</v>
      </c>
      <c r="M75" s="72" t="n">
        <f aca="false">INDEX(Routes!$F$6:$F$9,$C75)/L75</f>
        <v>0.13</v>
      </c>
      <c r="N75" s="77" t="n">
        <f aca="false">2*L75*(1+SeaMargin)/(I75*24)</f>
        <v>32.4074074074074</v>
      </c>
      <c r="O75" s="84" t="n">
        <f aca="false">(I75/RefSpeed)^SpeedExp</f>
        <v>1</v>
      </c>
      <c r="P75" s="2" t="n">
        <f aca="false">IF(H75&gt;0,1,0)</f>
        <v>1</v>
      </c>
      <c r="Q75" s="71" t="n">
        <f aca="false">N75/2*O75*(ConsLaden+IF(P75=1,ConsLaden,ConsBallast))</f>
        <v>875</v>
      </c>
      <c r="R75" s="71" t="n">
        <f aca="false">Q75*(1-M75)</f>
        <v>761.25</v>
      </c>
      <c r="S75" s="71" t="n">
        <f aca="false">Q75*M75</f>
        <v>113.75</v>
      </c>
      <c r="T75" s="2" t="n">
        <f aca="false">1+P75</f>
        <v>2</v>
      </c>
      <c r="U75" s="77" t="n">
        <f aca="false">INDEX(Routes!$L$6:$L$9,$C75)*T75*F75</f>
        <v>10</v>
      </c>
      <c r="V75" s="77" t="n">
        <f aca="false">INDEX(Routes!$M$6:$M$9,$C75)*T75*F75</f>
        <v>7</v>
      </c>
      <c r="W75" s="77" t="n">
        <f aca="false">INDEX(Routes!$H$6:$H$9,$C75)*2</f>
        <v>0</v>
      </c>
      <c r="X75" s="71" t="n">
        <f aca="false">(U75+V75+W75)*ConsPort</f>
        <v>102</v>
      </c>
      <c r="Y75" s="67" t="n">
        <f aca="false">R75*D75*VLSFO_Mult+(S75+X75)*D75*MGO_Mult</f>
        <v>874984</v>
      </c>
      <c r="Z75" s="67" t="n">
        <f aca="false">(INDEX(Routes!$N$6:$N$9,$C75)+AN75+MIN(AC75*INDEX(Routes!$T$6:$T$9,$C75),INDEX(Routes!$V$6:$V$9,$C75))+INDEX(Routes!$O$6:$O$9,$C75)+AO75+MIN(AC75*INDEX(Routes!$U$6:$U$9,$C75),INDEX(Routes!$W$6:$W$9,$C75))+IF(P75=1,INDEX(Routes!$N$6:$N$9,$C75)+AN75+MIN(AD75*INDEX(Routes!$T$6:$T$9,$C75),INDEX(Routes!$V$6:$V$9,$C75))+INDEX(Routes!$O$6:$O$9,$C75)+AO75+MIN(AD75*INDEX(Routes!$U$6:$U$9,$C75),INDEX(Routes!$W$6:$W$9,$C75)),0))*J75</f>
        <v>248763.0192</v>
      </c>
      <c r="AA75" s="67" t="n">
        <f aca="false">INDEX(Routes!$R$6:$R$9,$C75)+IF(P75=1,INDEX(Routes!$R$6:$R$9,$C75),INDEX(Routes!$S$6:$S$9,$C75))</f>
        <v>0</v>
      </c>
      <c r="AB75" s="67" t="n">
        <f aca="false">((R75*CO2_VLSFO+S75*CO2_MGO)*INDEX(Routes!$I$6:$I$9,$C75)+(U75*INDEX(Routes!$P$6:$P$9,$C75)+V75*INDEX(Routes!$Q$6:$Q$9,$C75))*ConsPort*CO2_MGO)*PhaseIn*K75*FX</f>
        <v>123936.40875</v>
      </c>
      <c r="AC75" s="71" t="n">
        <f aca="false">Capacity*G75</f>
        <v>25200</v>
      </c>
      <c r="AD75" s="71" t="n">
        <f aca="false">Capacity*H75</f>
        <v>18000</v>
      </c>
      <c r="AE75" s="82" t="n">
        <f aca="false">INDEX(Routes!$J$6:$J$9,$C75)*E75</f>
        <v>52</v>
      </c>
      <c r="AF75" s="82" t="n">
        <f aca="false">INDEX(Routes!$K$6:$K$9,$C75)*E75</f>
        <v>38</v>
      </c>
      <c r="AG75" s="67" t="n">
        <f aca="false">AC75*AE75+AD75*AF75</f>
        <v>1994400</v>
      </c>
      <c r="AH75" s="67" t="n">
        <f aca="false">AG75*Commission</f>
        <v>49860</v>
      </c>
      <c r="AI75" s="67" t="n">
        <f aca="false">Y75+Z75+AA75+AB75+MiscVoy</f>
        <v>1272683.42795</v>
      </c>
      <c r="AJ75" s="77" t="n">
        <f aca="false">N75+U75+V75+W75</f>
        <v>49.4074074074074</v>
      </c>
      <c r="AK75" s="94" t="n">
        <f aca="false">(AG75-AH75-AI75)/AJ75</f>
        <v>13598.2964357946</v>
      </c>
      <c r="AL75" s="67" t="n">
        <f aca="false">AG75-AH75-AI75-Benchmark*AJ75</f>
        <v>-217476.761283333</v>
      </c>
      <c r="AM75" s="82" t="n">
        <f aca="false">IF(AC75&gt;0,((Benchmark*AJ75+AI75)/(1-Commission)-AD75*AF75)/AC75,0)</f>
        <v>60.8513130355447</v>
      </c>
      <c r="AN75" s="67" t="n">
        <f aca="false">LOA_ft*Port_Tariffs!$C$9*IF((INDEX(Routes!$L$6:$L$9,$C75)*INDEX(Routes!$X$6:$X$9,$C75)*F75)&lt;=2,(INDEX(Routes!$L$6:$L$9,$C75)*INDEX(Routes!$X$6:$X$9,$C75)*F75),IF((INDEX(Routes!$L$6:$L$9,$C75)*INDEX(Routes!$X$6:$X$9,$C75)*F75)&lt;=3,2+0.9*((INDEX(Routes!$L$6:$L$9,$C75)*INDEX(Routes!$X$6:$X$9,$C75)*F75)-2),IF((INDEX(Routes!$L$6:$L$9,$C75)*INDEX(Routes!$X$6:$X$9,$C75)*F75)&lt;=4,2.9+0.75*((INDEX(Routes!$L$6:$L$9,$C75)*INDEX(Routes!$X$6:$X$9,$C75)*F75)-3),IF((INDEX(Routes!$L$6:$L$9,$C75)*INDEX(Routes!$X$6:$X$9,$C75)*F75)&lt;=5,3.65+0.6*((INDEX(Routes!$L$6:$L$9,$C75)*INDEX(Routes!$X$6:$X$9,$C75)*F75)-4),4.25+0.5*((INDEX(Routes!$L$6:$L$9,$C75)*INDEX(Routes!$X$6:$X$9,$C75)*F75)-5)))))</f>
        <v>19557.6</v>
      </c>
      <c r="AO75" s="67" t="n">
        <f aca="false">LOA_ft*Port_Tariffs!$C$9*IF((INDEX(Routes!$M$6:$M$9,$C75)*INDEX(Routes!$Y$6:$Y$9,$C75)*F75)&lt;=2,(INDEX(Routes!$M$6:$M$9,$C75)*INDEX(Routes!$Y$6:$Y$9,$C75)*F75),IF((INDEX(Routes!$M$6:$M$9,$C75)*INDEX(Routes!$Y$6:$Y$9,$C75)*F75)&lt;=3,2+0.9*((INDEX(Routes!$M$6:$M$9,$C75)*INDEX(Routes!$Y$6:$Y$9,$C75)*F75)-2),IF((INDEX(Routes!$M$6:$M$9,$C75)*INDEX(Routes!$Y$6:$Y$9,$C75)*F75)&lt;=4,2.9+0.75*((INDEX(Routes!$M$6:$M$9,$C75)*INDEX(Routes!$Y$6:$Y$9,$C75)*F75)-3),IF((INDEX(Routes!$M$6:$M$9,$C75)*INDEX(Routes!$Y$6:$Y$9,$C75)*F75)&lt;=5,3.65+0.6*((INDEX(Routes!$M$6:$M$9,$C75)*INDEX(Routes!$Y$6:$Y$9,$C75)*F75)-4),4.25+0.5*((INDEX(Routes!$M$6:$M$9,$C75)*INDEX(Routes!$Y$6:$Y$9,$C75)*F75)-5)))))</f>
        <v>0</v>
      </c>
    </row>
    <row r="76" customFormat="false" ht="15" hidden="false" customHeight="false" outlineLevel="0" collapsed="false">
      <c r="A76" s="2" t="s">
        <v>571</v>
      </c>
      <c r="B76" s="2" t="s">
        <v>564</v>
      </c>
      <c r="C76" s="16" t="n">
        <f aca="false">Sw_Route</f>
        <v>1</v>
      </c>
      <c r="D76" s="70" t="n">
        <v>120</v>
      </c>
      <c r="E76" s="88" t="n">
        <f aca="false">FreightMult</f>
        <v>1</v>
      </c>
      <c r="F76" s="88" t="n">
        <f aca="false">PortMult</f>
        <v>1</v>
      </c>
      <c r="G76" s="59" t="n">
        <v>0.7</v>
      </c>
      <c r="H76" s="89" t="n">
        <f aca="false">UtilBH</f>
        <v>0.5</v>
      </c>
      <c r="I76" s="90" t="n">
        <f aca="false">Speed</f>
        <v>13.5</v>
      </c>
      <c r="J76" s="88" t="n">
        <f aca="false">PortCostMult</f>
        <v>1</v>
      </c>
      <c r="K76" s="90" t="n">
        <f aca="false">EUA</f>
        <v>75</v>
      </c>
      <c r="L76" s="71" t="n">
        <f aca="false">INDEX(Routes!$E$6:$E$9,$C76)</f>
        <v>5000</v>
      </c>
      <c r="M76" s="72" t="n">
        <f aca="false">INDEX(Routes!$F$6:$F$9,$C76)/L76</f>
        <v>0.13</v>
      </c>
      <c r="N76" s="77" t="n">
        <f aca="false">2*L76*(1+SeaMargin)/(I76*24)</f>
        <v>32.4074074074074</v>
      </c>
      <c r="O76" s="84" t="n">
        <f aca="false">(I76/RefSpeed)^SpeedExp</f>
        <v>1</v>
      </c>
      <c r="P76" s="2" t="n">
        <f aca="false">IF(H76&gt;0,1,0)</f>
        <v>1</v>
      </c>
      <c r="Q76" s="71" t="n">
        <f aca="false">N76/2*O76*(ConsLaden+IF(P76=1,ConsLaden,ConsBallast))</f>
        <v>875</v>
      </c>
      <c r="R76" s="71" t="n">
        <f aca="false">Q76*(1-M76)</f>
        <v>761.25</v>
      </c>
      <c r="S76" s="71" t="n">
        <f aca="false">Q76*M76</f>
        <v>113.75</v>
      </c>
      <c r="T76" s="2" t="n">
        <f aca="false">1+P76</f>
        <v>2</v>
      </c>
      <c r="U76" s="77" t="n">
        <f aca="false">INDEX(Routes!$L$6:$L$9,$C76)*T76*F76</f>
        <v>10</v>
      </c>
      <c r="V76" s="77" t="n">
        <f aca="false">INDEX(Routes!$M$6:$M$9,$C76)*T76*F76</f>
        <v>7</v>
      </c>
      <c r="W76" s="77" t="n">
        <f aca="false">INDEX(Routes!$H$6:$H$9,$C76)*2</f>
        <v>0</v>
      </c>
      <c r="X76" s="71" t="n">
        <f aca="false">(U76+V76+W76)*ConsPort</f>
        <v>102</v>
      </c>
      <c r="Y76" s="67" t="n">
        <f aca="false">R76*D76*VLSFO_Mult+(S76+X76)*D76*MGO_Mult</f>
        <v>954528</v>
      </c>
      <c r="Z76" s="67" t="n">
        <f aca="false">(INDEX(Routes!$N$6:$N$9,$C76)+AN76+MIN(AC76*INDEX(Routes!$T$6:$T$9,$C76),INDEX(Routes!$V$6:$V$9,$C76))+INDEX(Routes!$O$6:$O$9,$C76)+AO76+MIN(AC76*INDEX(Routes!$U$6:$U$9,$C76),INDEX(Routes!$W$6:$W$9,$C76))+IF(P76=1,INDEX(Routes!$N$6:$N$9,$C76)+AN76+MIN(AD76*INDEX(Routes!$T$6:$T$9,$C76),INDEX(Routes!$V$6:$V$9,$C76))+INDEX(Routes!$O$6:$O$9,$C76)+AO76+MIN(AD76*INDEX(Routes!$U$6:$U$9,$C76),INDEX(Routes!$W$6:$W$9,$C76)),0))*J76</f>
        <v>248763.0192</v>
      </c>
      <c r="AA76" s="67" t="n">
        <f aca="false">INDEX(Routes!$R$6:$R$9,$C76)+IF(P76=1,INDEX(Routes!$R$6:$R$9,$C76),INDEX(Routes!$S$6:$S$9,$C76))</f>
        <v>0</v>
      </c>
      <c r="AB76" s="67" t="n">
        <f aca="false">((R76*CO2_VLSFO+S76*CO2_MGO)*INDEX(Routes!$I$6:$I$9,$C76)+(U76*INDEX(Routes!$P$6:$P$9,$C76)+V76*INDEX(Routes!$Q$6:$Q$9,$C76))*ConsPort*CO2_MGO)*PhaseIn*K76*FX</f>
        <v>123936.40875</v>
      </c>
      <c r="AC76" s="71" t="n">
        <f aca="false">Capacity*G76</f>
        <v>25200</v>
      </c>
      <c r="AD76" s="71" t="n">
        <f aca="false">Capacity*H76</f>
        <v>18000</v>
      </c>
      <c r="AE76" s="82" t="n">
        <f aca="false">INDEX(Routes!$J$6:$J$9,$C76)*E76</f>
        <v>52</v>
      </c>
      <c r="AF76" s="82" t="n">
        <f aca="false">INDEX(Routes!$K$6:$K$9,$C76)*E76</f>
        <v>38</v>
      </c>
      <c r="AG76" s="67" t="n">
        <f aca="false">AC76*AE76+AD76*AF76</f>
        <v>1994400</v>
      </c>
      <c r="AH76" s="67" t="n">
        <f aca="false">AG76*Commission</f>
        <v>49860</v>
      </c>
      <c r="AI76" s="67" t="n">
        <f aca="false">Y76+Z76+AA76+AB76+MiscVoy</f>
        <v>1352227.42795</v>
      </c>
      <c r="AJ76" s="77" t="n">
        <f aca="false">N76+U76+V76+W76</f>
        <v>49.4074074074074</v>
      </c>
      <c r="AK76" s="94" t="n">
        <f aca="false">(AG76-AH76-AI76)/AJ76</f>
        <v>11988.3354163044</v>
      </c>
      <c r="AL76" s="67" t="n">
        <f aca="false">AG76-AH76-AI76-Benchmark*AJ76</f>
        <v>-297020.761283333</v>
      </c>
      <c r="AM76" s="82" t="n">
        <f aca="false">IF(AC76&gt;0,((Benchmark*AJ76+AI76)/(1-Commission)-AD76*AF76)/AC76,0)</f>
        <v>64.0887570729887</v>
      </c>
      <c r="AN76" s="67" t="n">
        <f aca="false">LOA_ft*Port_Tariffs!$C$9*IF((INDEX(Routes!$L$6:$L$9,$C76)*INDEX(Routes!$X$6:$X$9,$C76)*F76)&lt;=2,(INDEX(Routes!$L$6:$L$9,$C76)*INDEX(Routes!$X$6:$X$9,$C76)*F76),IF((INDEX(Routes!$L$6:$L$9,$C76)*INDEX(Routes!$X$6:$X$9,$C76)*F76)&lt;=3,2+0.9*((INDEX(Routes!$L$6:$L$9,$C76)*INDEX(Routes!$X$6:$X$9,$C76)*F76)-2),IF((INDEX(Routes!$L$6:$L$9,$C76)*INDEX(Routes!$X$6:$X$9,$C76)*F76)&lt;=4,2.9+0.75*((INDEX(Routes!$L$6:$L$9,$C76)*INDEX(Routes!$X$6:$X$9,$C76)*F76)-3),IF((INDEX(Routes!$L$6:$L$9,$C76)*INDEX(Routes!$X$6:$X$9,$C76)*F76)&lt;=5,3.65+0.6*((INDEX(Routes!$L$6:$L$9,$C76)*INDEX(Routes!$X$6:$X$9,$C76)*F76)-4),4.25+0.5*((INDEX(Routes!$L$6:$L$9,$C76)*INDEX(Routes!$X$6:$X$9,$C76)*F76)-5)))))</f>
        <v>19557.6</v>
      </c>
      <c r="AO76" s="67" t="n">
        <f aca="false">LOA_ft*Port_Tariffs!$C$9*IF((INDEX(Routes!$M$6:$M$9,$C76)*INDEX(Routes!$Y$6:$Y$9,$C76)*F76)&lt;=2,(INDEX(Routes!$M$6:$M$9,$C76)*INDEX(Routes!$Y$6:$Y$9,$C76)*F76),IF((INDEX(Routes!$M$6:$M$9,$C76)*INDEX(Routes!$Y$6:$Y$9,$C76)*F76)&lt;=3,2+0.9*((INDEX(Routes!$M$6:$M$9,$C76)*INDEX(Routes!$Y$6:$Y$9,$C76)*F76)-2),IF((INDEX(Routes!$M$6:$M$9,$C76)*INDEX(Routes!$Y$6:$Y$9,$C76)*F76)&lt;=4,2.9+0.75*((INDEX(Routes!$M$6:$M$9,$C76)*INDEX(Routes!$Y$6:$Y$9,$C76)*F76)-3),IF((INDEX(Routes!$M$6:$M$9,$C76)*INDEX(Routes!$Y$6:$Y$9,$C76)*F76)&lt;=5,3.65+0.6*((INDEX(Routes!$M$6:$M$9,$C76)*INDEX(Routes!$Y$6:$Y$9,$C76)*F76)-4),4.25+0.5*((INDEX(Routes!$M$6:$M$9,$C76)*INDEX(Routes!$Y$6:$Y$9,$C76)*F76)-5)))))</f>
        <v>0</v>
      </c>
    </row>
    <row r="77" customFormat="false" ht="15" hidden="false" customHeight="false" outlineLevel="0" collapsed="false">
      <c r="A77" s="2" t="s">
        <v>572</v>
      </c>
      <c r="B77" s="2" t="s">
        <v>564</v>
      </c>
      <c r="C77" s="16" t="n">
        <f aca="false">Sw_Route</f>
        <v>1</v>
      </c>
      <c r="D77" s="70" t="n">
        <v>130</v>
      </c>
      <c r="E77" s="88" t="n">
        <f aca="false">FreightMult</f>
        <v>1</v>
      </c>
      <c r="F77" s="88" t="n">
        <f aca="false">PortMult</f>
        <v>1</v>
      </c>
      <c r="G77" s="59" t="n">
        <v>0.7</v>
      </c>
      <c r="H77" s="89" t="n">
        <f aca="false">UtilBH</f>
        <v>0.5</v>
      </c>
      <c r="I77" s="90" t="n">
        <f aca="false">Speed</f>
        <v>13.5</v>
      </c>
      <c r="J77" s="88" t="n">
        <f aca="false">PortCostMult</f>
        <v>1</v>
      </c>
      <c r="K77" s="90" t="n">
        <f aca="false">EUA</f>
        <v>75</v>
      </c>
      <c r="L77" s="71" t="n">
        <f aca="false">INDEX(Routes!$E$6:$E$9,$C77)</f>
        <v>5000</v>
      </c>
      <c r="M77" s="72" t="n">
        <f aca="false">INDEX(Routes!$F$6:$F$9,$C77)/L77</f>
        <v>0.13</v>
      </c>
      <c r="N77" s="77" t="n">
        <f aca="false">2*L77*(1+SeaMargin)/(I77*24)</f>
        <v>32.4074074074074</v>
      </c>
      <c r="O77" s="84" t="n">
        <f aca="false">(I77/RefSpeed)^SpeedExp</f>
        <v>1</v>
      </c>
      <c r="P77" s="2" t="n">
        <f aca="false">IF(H77&gt;0,1,0)</f>
        <v>1</v>
      </c>
      <c r="Q77" s="71" t="n">
        <f aca="false">N77/2*O77*(ConsLaden+IF(P77=1,ConsLaden,ConsBallast))</f>
        <v>875</v>
      </c>
      <c r="R77" s="71" t="n">
        <f aca="false">Q77*(1-M77)</f>
        <v>761.25</v>
      </c>
      <c r="S77" s="71" t="n">
        <f aca="false">Q77*M77</f>
        <v>113.75</v>
      </c>
      <c r="T77" s="2" t="n">
        <f aca="false">1+P77</f>
        <v>2</v>
      </c>
      <c r="U77" s="77" t="n">
        <f aca="false">INDEX(Routes!$L$6:$L$9,$C77)*T77*F77</f>
        <v>10</v>
      </c>
      <c r="V77" s="77" t="n">
        <f aca="false">INDEX(Routes!$M$6:$M$9,$C77)*T77*F77</f>
        <v>7</v>
      </c>
      <c r="W77" s="77" t="n">
        <f aca="false">INDEX(Routes!$H$6:$H$9,$C77)*2</f>
        <v>0</v>
      </c>
      <c r="X77" s="71" t="n">
        <f aca="false">(U77+V77+W77)*ConsPort</f>
        <v>102</v>
      </c>
      <c r="Y77" s="67" t="n">
        <f aca="false">R77*D77*VLSFO_Mult+(S77+X77)*D77*MGO_Mult</f>
        <v>1034072</v>
      </c>
      <c r="Z77" s="67" t="n">
        <f aca="false">(INDEX(Routes!$N$6:$N$9,$C77)+AN77+MIN(AC77*INDEX(Routes!$T$6:$T$9,$C77),INDEX(Routes!$V$6:$V$9,$C77))+INDEX(Routes!$O$6:$O$9,$C77)+AO77+MIN(AC77*INDEX(Routes!$U$6:$U$9,$C77),INDEX(Routes!$W$6:$W$9,$C77))+IF(P77=1,INDEX(Routes!$N$6:$N$9,$C77)+AN77+MIN(AD77*INDEX(Routes!$T$6:$T$9,$C77),INDEX(Routes!$V$6:$V$9,$C77))+INDEX(Routes!$O$6:$O$9,$C77)+AO77+MIN(AD77*INDEX(Routes!$U$6:$U$9,$C77),INDEX(Routes!$W$6:$W$9,$C77)),0))*J77</f>
        <v>248763.0192</v>
      </c>
      <c r="AA77" s="67" t="n">
        <f aca="false">INDEX(Routes!$R$6:$R$9,$C77)+IF(P77=1,INDEX(Routes!$R$6:$R$9,$C77),INDEX(Routes!$S$6:$S$9,$C77))</f>
        <v>0</v>
      </c>
      <c r="AB77" s="67" t="n">
        <f aca="false">((R77*CO2_VLSFO+S77*CO2_MGO)*INDEX(Routes!$I$6:$I$9,$C77)+(U77*INDEX(Routes!$P$6:$P$9,$C77)+V77*INDEX(Routes!$Q$6:$Q$9,$C77))*ConsPort*CO2_MGO)*PhaseIn*K77*FX</f>
        <v>123936.40875</v>
      </c>
      <c r="AC77" s="71" t="n">
        <f aca="false">Capacity*G77</f>
        <v>25200</v>
      </c>
      <c r="AD77" s="71" t="n">
        <f aca="false">Capacity*H77</f>
        <v>18000</v>
      </c>
      <c r="AE77" s="82" t="n">
        <f aca="false">INDEX(Routes!$J$6:$J$9,$C77)*E77</f>
        <v>52</v>
      </c>
      <c r="AF77" s="82" t="n">
        <f aca="false">INDEX(Routes!$K$6:$K$9,$C77)*E77</f>
        <v>38</v>
      </c>
      <c r="AG77" s="67" t="n">
        <f aca="false">AC77*AE77+AD77*AF77</f>
        <v>1994400</v>
      </c>
      <c r="AH77" s="67" t="n">
        <f aca="false">AG77*Commission</f>
        <v>49860</v>
      </c>
      <c r="AI77" s="67" t="n">
        <f aca="false">Y77+Z77+AA77+AB77+MiscVoy</f>
        <v>1431771.42795</v>
      </c>
      <c r="AJ77" s="77" t="n">
        <f aca="false">N77+U77+V77+W77</f>
        <v>49.4074074074074</v>
      </c>
      <c r="AK77" s="94" t="n">
        <f aca="false">(AG77-AH77-AI77)/AJ77</f>
        <v>10378.3743968141</v>
      </c>
      <c r="AL77" s="67" t="n">
        <f aca="false">AG77-AH77-AI77-Benchmark*AJ77</f>
        <v>-376564.761283333</v>
      </c>
      <c r="AM77" s="82" t="n">
        <f aca="false">IF(AC77&gt;0,((Benchmark*AJ77+AI77)/(1-Commission)-AD77*AF77)/AC77,0)</f>
        <v>67.3262011104328</v>
      </c>
      <c r="AN77" s="67" t="n">
        <f aca="false">LOA_ft*Port_Tariffs!$C$9*IF((INDEX(Routes!$L$6:$L$9,$C77)*INDEX(Routes!$X$6:$X$9,$C77)*F77)&lt;=2,(INDEX(Routes!$L$6:$L$9,$C77)*INDEX(Routes!$X$6:$X$9,$C77)*F77),IF((INDEX(Routes!$L$6:$L$9,$C77)*INDEX(Routes!$X$6:$X$9,$C77)*F77)&lt;=3,2+0.9*((INDEX(Routes!$L$6:$L$9,$C77)*INDEX(Routes!$X$6:$X$9,$C77)*F77)-2),IF((INDEX(Routes!$L$6:$L$9,$C77)*INDEX(Routes!$X$6:$X$9,$C77)*F77)&lt;=4,2.9+0.75*((INDEX(Routes!$L$6:$L$9,$C77)*INDEX(Routes!$X$6:$X$9,$C77)*F77)-3),IF((INDEX(Routes!$L$6:$L$9,$C77)*INDEX(Routes!$X$6:$X$9,$C77)*F77)&lt;=5,3.65+0.6*((INDEX(Routes!$L$6:$L$9,$C77)*INDEX(Routes!$X$6:$X$9,$C77)*F77)-4),4.25+0.5*((INDEX(Routes!$L$6:$L$9,$C77)*INDEX(Routes!$X$6:$X$9,$C77)*F77)-5)))))</f>
        <v>19557.6</v>
      </c>
      <c r="AO77" s="67" t="n">
        <f aca="false">LOA_ft*Port_Tariffs!$C$9*IF((INDEX(Routes!$M$6:$M$9,$C77)*INDEX(Routes!$Y$6:$Y$9,$C77)*F77)&lt;=2,(INDEX(Routes!$M$6:$M$9,$C77)*INDEX(Routes!$Y$6:$Y$9,$C77)*F77),IF((INDEX(Routes!$M$6:$M$9,$C77)*INDEX(Routes!$Y$6:$Y$9,$C77)*F77)&lt;=3,2+0.9*((INDEX(Routes!$M$6:$M$9,$C77)*INDEX(Routes!$Y$6:$Y$9,$C77)*F77)-2),IF((INDEX(Routes!$M$6:$M$9,$C77)*INDEX(Routes!$Y$6:$Y$9,$C77)*F77)&lt;=4,2.9+0.75*((INDEX(Routes!$M$6:$M$9,$C77)*INDEX(Routes!$Y$6:$Y$9,$C77)*F77)-3),IF((INDEX(Routes!$M$6:$M$9,$C77)*INDEX(Routes!$Y$6:$Y$9,$C77)*F77)&lt;=5,3.65+0.6*((INDEX(Routes!$M$6:$M$9,$C77)*INDEX(Routes!$Y$6:$Y$9,$C77)*F77)-4),4.25+0.5*((INDEX(Routes!$M$6:$M$9,$C77)*INDEX(Routes!$Y$6:$Y$9,$C77)*F77)-5)))))</f>
        <v>0</v>
      </c>
    </row>
    <row r="78" customFormat="false" ht="15" hidden="false" customHeight="false" outlineLevel="0" collapsed="false">
      <c r="A78" s="2" t="s">
        <v>573</v>
      </c>
      <c r="B78" s="2" t="s">
        <v>564</v>
      </c>
      <c r="C78" s="16" t="n">
        <f aca="false">Sw_Route</f>
        <v>1</v>
      </c>
      <c r="D78" s="70" t="n">
        <v>50</v>
      </c>
      <c r="E78" s="88" t="n">
        <f aca="false">FreightMult</f>
        <v>1</v>
      </c>
      <c r="F78" s="88" t="n">
        <f aca="false">PortMult</f>
        <v>1</v>
      </c>
      <c r="G78" s="59" t="n">
        <v>0.85</v>
      </c>
      <c r="H78" s="89" t="n">
        <f aca="false">UtilBH</f>
        <v>0.5</v>
      </c>
      <c r="I78" s="90" t="n">
        <f aca="false">Speed</f>
        <v>13.5</v>
      </c>
      <c r="J78" s="88" t="n">
        <f aca="false">PortCostMult</f>
        <v>1</v>
      </c>
      <c r="K78" s="90" t="n">
        <f aca="false">EUA</f>
        <v>75</v>
      </c>
      <c r="L78" s="71" t="n">
        <f aca="false">INDEX(Routes!$E$6:$E$9,$C78)</f>
        <v>5000</v>
      </c>
      <c r="M78" s="72" t="n">
        <f aca="false">INDEX(Routes!$F$6:$F$9,$C78)/L78</f>
        <v>0.13</v>
      </c>
      <c r="N78" s="77" t="n">
        <f aca="false">2*L78*(1+SeaMargin)/(I78*24)</f>
        <v>32.4074074074074</v>
      </c>
      <c r="O78" s="84" t="n">
        <f aca="false">(I78/RefSpeed)^SpeedExp</f>
        <v>1</v>
      </c>
      <c r="P78" s="2" t="n">
        <f aca="false">IF(H78&gt;0,1,0)</f>
        <v>1</v>
      </c>
      <c r="Q78" s="71" t="n">
        <f aca="false">N78/2*O78*(ConsLaden+IF(P78=1,ConsLaden,ConsBallast))</f>
        <v>875</v>
      </c>
      <c r="R78" s="71" t="n">
        <f aca="false">Q78*(1-M78)</f>
        <v>761.25</v>
      </c>
      <c r="S78" s="71" t="n">
        <f aca="false">Q78*M78</f>
        <v>113.75</v>
      </c>
      <c r="T78" s="2" t="n">
        <f aca="false">1+P78</f>
        <v>2</v>
      </c>
      <c r="U78" s="77" t="n">
        <f aca="false">INDEX(Routes!$L$6:$L$9,$C78)*T78*F78</f>
        <v>10</v>
      </c>
      <c r="V78" s="77" t="n">
        <f aca="false">INDEX(Routes!$M$6:$M$9,$C78)*T78*F78</f>
        <v>7</v>
      </c>
      <c r="W78" s="77" t="n">
        <f aca="false">INDEX(Routes!$H$6:$H$9,$C78)*2</f>
        <v>0</v>
      </c>
      <c r="X78" s="71" t="n">
        <f aca="false">(U78+V78+W78)*ConsPort</f>
        <v>102</v>
      </c>
      <c r="Y78" s="67" t="n">
        <f aca="false">R78*D78*VLSFO_Mult+(S78+X78)*D78*MGO_Mult</f>
        <v>397720</v>
      </c>
      <c r="Z78" s="67" t="n">
        <f aca="false">(INDEX(Routes!$N$6:$N$9,$C78)+AN78+MIN(AC78*INDEX(Routes!$T$6:$T$9,$C78),INDEX(Routes!$V$6:$V$9,$C78))+INDEX(Routes!$O$6:$O$9,$C78)+AO78+MIN(AC78*INDEX(Routes!$U$6:$U$9,$C78),INDEX(Routes!$W$6:$W$9,$C78))+IF(P78=1,INDEX(Routes!$N$6:$N$9,$C78)+AN78+MIN(AD78*INDEX(Routes!$T$6:$T$9,$C78),INDEX(Routes!$V$6:$V$9,$C78))+INDEX(Routes!$O$6:$O$9,$C78)+AO78+MIN(AD78*INDEX(Routes!$U$6:$U$9,$C78),INDEX(Routes!$W$6:$W$9,$C78)),0))*J78</f>
        <v>252304.2096</v>
      </c>
      <c r="AA78" s="67" t="n">
        <f aca="false">INDEX(Routes!$R$6:$R$9,$C78)+IF(P78=1,INDEX(Routes!$R$6:$R$9,$C78),INDEX(Routes!$S$6:$S$9,$C78))</f>
        <v>0</v>
      </c>
      <c r="AB78" s="67" t="n">
        <f aca="false">((R78*CO2_VLSFO+S78*CO2_MGO)*INDEX(Routes!$I$6:$I$9,$C78)+(U78*INDEX(Routes!$P$6:$P$9,$C78)+V78*INDEX(Routes!$Q$6:$Q$9,$C78))*ConsPort*CO2_MGO)*PhaseIn*K78*FX</f>
        <v>123936.40875</v>
      </c>
      <c r="AC78" s="71" t="n">
        <f aca="false">Capacity*G78</f>
        <v>30600</v>
      </c>
      <c r="AD78" s="71" t="n">
        <f aca="false">Capacity*H78</f>
        <v>18000</v>
      </c>
      <c r="AE78" s="82" t="n">
        <f aca="false">INDEX(Routes!$J$6:$J$9,$C78)*E78</f>
        <v>52</v>
      </c>
      <c r="AF78" s="82" t="n">
        <f aca="false">INDEX(Routes!$K$6:$K$9,$C78)*E78</f>
        <v>38</v>
      </c>
      <c r="AG78" s="67" t="n">
        <f aca="false">AC78*AE78+AD78*AF78</f>
        <v>2275200</v>
      </c>
      <c r="AH78" s="67" t="n">
        <f aca="false">AG78*Commission</f>
        <v>56880</v>
      </c>
      <c r="AI78" s="67" t="n">
        <f aca="false">Y78+Z78+AA78+AB78+MiscVoy</f>
        <v>798960.61835</v>
      </c>
      <c r="AJ78" s="77" t="n">
        <f aca="false">N78+U78+V78+W78</f>
        <v>49.4074074074074</v>
      </c>
      <c r="AK78" s="94" t="n">
        <f aca="false">(AG78-AH78-AI78)/AJ78</f>
        <v>28727.6636465892</v>
      </c>
      <c r="AL78" s="67" t="n">
        <f aca="false">AG78-AH78-AI78-Benchmark*AJ78</f>
        <v>530026.048316667</v>
      </c>
      <c r="AM78" s="82" t="n">
        <f aca="false">IF(AC78&gt;0,((Benchmark*AJ78+AI78)/(1-Commission)-AD78*AF78)/AC78,0)</f>
        <v>34.2347562152952</v>
      </c>
      <c r="AN78" s="67" t="n">
        <f aca="false">LOA_ft*Port_Tariffs!$C$9*IF((INDEX(Routes!$L$6:$L$9,$C78)*INDEX(Routes!$X$6:$X$9,$C78)*F78)&lt;=2,(INDEX(Routes!$L$6:$L$9,$C78)*INDEX(Routes!$X$6:$X$9,$C78)*F78),IF((INDEX(Routes!$L$6:$L$9,$C78)*INDEX(Routes!$X$6:$X$9,$C78)*F78)&lt;=3,2+0.9*((INDEX(Routes!$L$6:$L$9,$C78)*INDEX(Routes!$X$6:$X$9,$C78)*F78)-2),IF((INDEX(Routes!$L$6:$L$9,$C78)*INDEX(Routes!$X$6:$X$9,$C78)*F78)&lt;=4,2.9+0.75*((INDEX(Routes!$L$6:$L$9,$C78)*INDEX(Routes!$X$6:$X$9,$C78)*F78)-3),IF((INDEX(Routes!$L$6:$L$9,$C78)*INDEX(Routes!$X$6:$X$9,$C78)*F78)&lt;=5,3.65+0.6*((INDEX(Routes!$L$6:$L$9,$C78)*INDEX(Routes!$X$6:$X$9,$C78)*F78)-4),4.25+0.5*((INDEX(Routes!$L$6:$L$9,$C78)*INDEX(Routes!$X$6:$X$9,$C78)*F78)-5)))))</f>
        <v>19557.6</v>
      </c>
      <c r="AO78" s="67" t="n">
        <f aca="false">LOA_ft*Port_Tariffs!$C$9*IF((INDEX(Routes!$M$6:$M$9,$C78)*INDEX(Routes!$Y$6:$Y$9,$C78)*F78)&lt;=2,(INDEX(Routes!$M$6:$M$9,$C78)*INDEX(Routes!$Y$6:$Y$9,$C78)*F78),IF((INDEX(Routes!$M$6:$M$9,$C78)*INDEX(Routes!$Y$6:$Y$9,$C78)*F78)&lt;=3,2+0.9*((INDEX(Routes!$M$6:$M$9,$C78)*INDEX(Routes!$Y$6:$Y$9,$C78)*F78)-2),IF((INDEX(Routes!$M$6:$M$9,$C78)*INDEX(Routes!$Y$6:$Y$9,$C78)*F78)&lt;=4,2.9+0.75*((INDEX(Routes!$M$6:$M$9,$C78)*INDEX(Routes!$Y$6:$Y$9,$C78)*F78)-3),IF((INDEX(Routes!$M$6:$M$9,$C78)*INDEX(Routes!$Y$6:$Y$9,$C78)*F78)&lt;=5,3.65+0.6*((INDEX(Routes!$M$6:$M$9,$C78)*INDEX(Routes!$Y$6:$Y$9,$C78)*F78)-4),4.25+0.5*((INDEX(Routes!$M$6:$M$9,$C78)*INDEX(Routes!$Y$6:$Y$9,$C78)*F78)-5)))))</f>
        <v>0</v>
      </c>
    </row>
    <row r="79" customFormat="false" ht="15" hidden="false" customHeight="false" outlineLevel="0" collapsed="false">
      <c r="A79" s="2" t="s">
        <v>574</v>
      </c>
      <c r="B79" s="2" t="s">
        <v>564</v>
      </c>
      <c r="C79" s="16" t="n">
        <f aca="false">Sw_Route</f>
        <v>1</v>
      </c>
      <c r="D79" s="70" t="n">
        <v>60</v>
      </c>
      <c r="E79" s="88" t="n">
        <f aca="false">FreightMult</f>
        <v>1</v>
      </c>
      <c r="F79" s="88" t="n">
        <f aca="false">PortMult</f>
        <v>1</v>
      </c>
      <c r="G79" s="59" t="n">
        <v>0.85</v>
      </c>
      <c r="H79" s="89" t="n">
        <f aca="false">UtilBH</f>
        <v>0.5</v>
      </c>
      <c r="I79" s="90" t="n">
        <f aca="false">Speed</f>
        <v>13.5</v>
      </c>
      <c r="J79" s="88" t="n">
        <f aca="false">PortCostMult</f>
        <v>1</v>
      </c>
      <c r="K79" s="90" t="n">
        <f aca="false">EUA</f>
        <v>75</v>
      </c>
      <c r="L79" s="71" t="n">
        <f aca="false">INDEX(Routes!$E$6:$E$9,$C79)</f>
        <v>5000</v>
      </c>
      <c r="M79" s="72" t="n">
        <f aca="false">INDEX(Routes!$F$6:$F$9,$C79)/L79</f>
        <v>0.13</v>
      </c>
      <c r="N79" s="77" t="n">
        <f aca="false">2*L79*(1+SeaMargin)/(I79*24)</f>
        <v>32.4074074074074</v>
      </c>
      <c r="O79" s="84" t="n">
        <f aca="false">(I79/RefSpeed)^SpeedExp</f>
        <v>1</v>
      </c>
      <c r="P79" s="2" t="n">
        <f aca="false">IF(H79&gt;0,1,0)</f>
        <v>1</v>
      </c>
      <c r="Q79" s="71" t="n">
        <f aca="false">N79/2*O79*(ConsLaden+IF(P79=1,ConsLaden,ConsBallast))</f>
        <v>875</v>
      </c>
      <c r="R79" s="71" t="n">
        <f aca="false">Q79*(1-M79)</f>
        <v>761.25</v>
      </c>
      <c r="S79" s="71" t="n">
        <f aca="false">Q79*M79</f>
        <v>113.75</v>
      </c>
      <c r="T79" s="2" t="n">
        <f aca="false">1+P79</f>
        <v>2</v>
      </c>
      <c r="U79" s="77" t="n">
        <f aca="false">INDEX(Routes!$L$6:$L$9,$C79)*T79*F79</f>
        <v>10</v>
      </c>
      <c r="V79" s="77" t="n">
        <f aca="false">INDEX(Routes!$M$6:$M$9,$C79)*T79*F79</f>
        <v>7</v>
      </c>
      <c r="W79" s="77" t="n">
        <f aca="false">INDEX(Routes!$H$6:$H$9,$C79)*2</f>
        <v>0</v>
      </c>
      <c r="X79" s="71" t="n">
        <f aca="false">(U79+V79+W79)*ConsPort</f>
        <v>102</v>
      </c>
      <c r="Y79" s="67" t="n">
        <f aca="false">R79*D79*VLSFO_Mult+(S79+X79)*D79*MGO_Mult</f>
        <v>477264</v>
      </c>
      <c r="Z79" s="67" t="n">
        <f aca="false">(INDEX(Routes!$N$6:$N$9,$C79)+AN79+MIN(AC79*INDEX(Routes!$T$6:$T$9,$C79),INDEX(Routes!$V$6:$V$9,$C79))+INDEX(Routes!$O$6:$O$9,$C79)+AO79+MIN(AC79*INDEX(Routes!$U$6:$U$9,$C79),INDEX(Routes!$W$6:$W$9,$C79))+IF(P79=1,INDEX(Routes!$N$6:$N$9,$C79)+AN79+MIN(AD79*INDEX(Routes!$T$6:$T$9,$C79),INDEX(Routes!$V$6:$V$9,$C79))+INDEX(Routes!$O$6:$O$9,$C79)+AO79+MIN(AD79*INDEX(Routes!$U$6:$U$9,$C79),INDEX(Routes!$W$6:$W$9,$C79)),0))*J79</f>
        <v>252304.2096</v>
      </c>
      <c r="AA79" s="67" t="n">
        <f aca="false">INDEX(Routes!$R$6:$R$9,$C79)+IF(P79=1,INDEX(Routes!$R$6:$R$9,$C79),INDEX(Routes!$S$6:$S$9,$C79))</f>
        <v>0</v>
      </c>
      <c r="AB79" s="67" t="n">
        <f aca="false">((R79*CO2_VLSFO+S79*CO2_MGO)*INDEX(Routes!$I$6:$I$9,$C79)+(U79*INDEX(Routes!$P$6:$P$9,$C79)+V79*INDEX(Routes!$Q$6:$Q$9,$C79))*ConsPort*CO2_MGO)*PhaseIn*K79*FX</f>
        <v>123936.40875</v>
      </c>
      <c r="AC79" s="71" t="n">
        <f aca="false">Capacity*G79</f>
        <v>30600</v>
      </c>
      <c r="AD79" s="71" t="n">
        <f aca="false">Capacity*H79</f>
        <v>18000</v>
      </c>
      <c r="AE79" s="82" t="n">
        <f aca="false">INDEX(Routes!$J$6:$J$9,$C79)*E79</f>
        <v>52</v>
      </c>
      <c r="AF79" s="82" t="n">
        <f aca="false">INDEX(Routes!$K$6:$K$9,$C79)*E79</f>
        <v>38</v>
      </c>
      <c r="AG79" s="67" t="n">
        <f aca="false">AC79*AE79+AD79*AF79</f>
        <v>2275200</v>
      </c>
      <c r="AH79" s="67" t="n">
        <f aca="false">AG79*Commission</f>
        <v>56880</v>
      </c>
      <c r="AI79" s="67" t="n">
        <f aca="false">Y79+Z79+AA79+AB79+MiscVoy</f>
        <v>878504.61835</v>
      </c>
      <c r="AJ79" s="77" t="n">
        <f aca="false">N79+U79+V79+W79</f>
        <v>49.4074074074074</v>
      </c>
      <c r="AK79" s="94" t="n">
        <f aca="false">(AG79-AH79-AI79)/AJ79</f>
        <v>27117.702627099</v>
      </c>
      <c r="AL79" s="67" t="n">
        <f aca="false">AG79-AH79-AI79-Benchmark*AJ79</f>
        <v>450482.048316667</v>
      </c>
      <c r="AM79" s="82" t="n">
        <f aca="false">IF(AC79&gt;0,((Benchmark*AJ79+AI79)/(1-Commission)-AD79*AF79)/AC79,0)</f>
        <v>36.9008865990727</v>
      </c>
      <c r="AN79" s="67" t="n">
        <f aca="false">LOA_ft*Port_Tariffs!$C$9*IF((INDEX(Routes!$L$6:$L$9,$C79)*INDEX(Routes!$X$6:$X$9,$C79)*F79)&lt;=2,(INDEX(Routes!$L$6:$L$9,$C79)*INDEX(Routes!$X$6:$X$9,$C79)*F79),IF((INDEX(Routes!$L$6:$L$9,$C79)*INDEX(Routes!$X$6:$X$9,$C79)*F79)&lt;=3,2+0.9*((INDEX(Routes!$L$6:$L$9,$C79)*INDEX(Routes!$X$6:$X$9,$C79)*F79)-2),IF((INDEX(Routes!$L$6:$L$9,$C79)*INDEX(Routes!$X$6:$X$9,$C79)*F79)&lt;=4,2.9+0.75*((INDEX(Routes!$L$6:$L$9,$C79)*INDEX(Routes!$X$6:$X$9,$C79)*F79)-3),IF((INDEX(Routes!$L$6:$L$9,$C79)*INDEX(Routes!$X$6:$X$9,$C79)*F79)&lt;=5,3.65+0.6*((INDEX(Routes!$L$6:$L$9,$C79)*INDEX(Routes!$X$6:$X$9,$C79)*F79)-4),4.25+0.5*((INDEX(Routes!$L$6:$L$9,$C79)*INDEX(Routes!$X$6:$X$9,$C79)*F79)-5)))))</f>
        <v>19557.6</v>
      </c>
      <c r="AO79" s="67" t="n">
        <f aca="false">LOA_ft*Port_Tariffs!$C$9*IF((INDEX(Routes!$M$6:$M$9,$C79)*INDEX(Routes!$Y$6:$Y$9,$C79)*F79)&lt;=2,(INDEX(Routes!$M$6:$M$9,$C79)*INDEX(Routes!$Y$6:$Y$9,$C79)*F79),IF((INDEX(Routes!$M$6:$M$9,$C79)*INDEX(Routes!$Y$6:$Y$9,$C79)*F79)&lt;=3,2+0.9*((INDEX(Routes!$M$6:$M$9,$C79)*INDEX(Routes!$Y$6:$Y$9,$C79)*F79)-2),IF((INDEX(Routes!$M$6:$M$9,$C79)*INDEX(Routes!$Y$6:$Y$9,$C79)*F79)&lt;=4,2.9+0.75*((INDEX(Routes!$M$6:$M$9,$C79)*INDEX(Routes!$Y$6:$Y$9,$C79)*F79)-3),IF((INDEX(Routes!$M$6:$M$9,$C79)*INDEX(Routes!$Y$6:$Y$9,$C79)*F79)&lt;=5,3.65+0.6*((INDEX(Routes!$M$6:$M$9,$C79)*INDEX(Routes!$Y$6:$Y$9,$C79)*F79)-4),4.25+0.5*((INDEX(Routes!$M$6:$M$9,$C79)*INDEX(Routes!$Y$6:$Y$9,$C79)*F79)-5)))))</f>
        <v>0</v>
      </c>
    </row>
    <row r="80" customFormat="false" ht="15" hidden="false" customHeight="false" outlineLevel="0" collapsed="false">
      <c r="A80" s="2" t="s">
        <v>575</v>
      </c>
      <c r="B80" s="2" t="s">
        <v>564</v>
      </c>
      <c r="C80" s="16" t="n">
        <f aca="false">Sw_Route</f>
        <v>1</v>
      </c>
      <c r="D80" s="70" t="n">
        <v>70</v>
      </c>
      <c r="E80" s="88" t="n">
        <f aca="false">FreightMult</f>
        <v>1</v>
      </c>
      <c r="F80" s="88" t="n">
        <f aca="false">PortMult</f>
        <v>1</v>
      </c>
      <c r="G80" s="59" t="n">
        <v>0.85</v>
      </c>
      <c r="H80" s="89" t="n">
        <f aca="false">UtilBH</f>
        <v>0.5</v>
      </c>
      <c r="I80" s="90" t="n">
        <f aca="false">Speed</f>
        <v>13.5</v>
      </c>
      <c r="J80" s="88" t="n">
        <f aca="false">PortCostMult</f>
        <v>1</v>
      </c>
      <c r="K80" s="90" t="n">
        <f aca="false">EUA</f>
        <v>75</v>
      </c>
      <c r="L80" s="71" t="n">
        <f aca="false">INDEX(Routes!$E$6:$E$9,$C80)</f>
        <v>5000</v>
      </c>
      <c r="M80" s="72" t="n">
        <f aca="false">INDEX(Routes!$F$6:$F$9,$C80)/L80</f>
        <v>0.13</v>
      </c>
      <c r="N80" s="77" t="n">
        <f aca="false">2*L80*(1+SeaMargin)/(I80*24)</f>
        <v>32.4074074074074</v>
      </c>
      <c r="O80" s="84" t="n">
        <f aca="false">(I80/RefSpeed)^SpeedExp</f>
        <v>1</v>
      </c>
      <c r="P80" s="2" t="n">
        <f aca="false">IF(H80&gt;0,1,0)</f>
        <v>1</v>
      </c>
      <c r="Q80" s="71" t="n">
        <f aca="false">N80/2*O80*(ConsLaden+IF(P80=1,ConsLaden,ConsBallast))</f>
        <v>875</v>
      </c>
      <c r="R80" s="71" t="n">
        <f aca="false">Q80*(1-M80)</f>
        <v>761.25</v>
      </c>
      <c r="S80" s="71" t="n">
        <f aca="false">Q80*M80</f>
        <v>113.75</v>
      </c>
      <c r="T80" s="2" t="n">
        <f aca="false">1+P80</f>
        <v>2</v>
      </c>
      <c r="U80" s="77" t="n">
        <f aca="false">INDEX(Routes!$L$6:$L$9,$C80)*T80*F80</f>
        <v>10</v>
      </c>
      <c r="V80" s="77" t="n">
        <f aca="false">INDEX(Routes!$M$6:$M$9,$C80)*T80*F80</f>
        <v>7</v>
      </c>
      <c r="W80" s="77" t="n">
        <f aca="false">INDEX(Routes!$H$6:$H$9,$C80)*2</f>
        <v>0</v>
      </c>
      <c r="X80" s="71" t="n">
        <f aca="false">(U80+V80+W80)*ConsPort</f>
        <v>102</v>
      </c>
      <c r="Y80" s="67" t="n">
        <f aca="false">R80*D80*VLSFO_Mult+(S80+X80)*D80*MGO_Mult</f>
        <v>556808</v>
      </c>
      <c r="Z80" s="67" t="n">
        <f aca="false">(INDEX(Routes!$N$6:$N$9,$C80)+AN80+MIN(AC80*INDEX(Routes!$T$6:$T$9,$C80),INDEX(Routes!$V$6:$V$9,$C80))+INDEX(Routes!$O$6:$O$9,$C80)+AO80+MIN(AC80*INDEX(Routes!$U$6:$U$9,$C80),INDEX(Routes!$W$6:$W$9,$C80))+IF(P80=1,INDEX(Routes!$N$6:$N$9,$C80)+AN80+MIN(AD80*INDEX(Routes!$T$6:$T$9,$C80),INDEX(Routes!$V$6:$V$9,$C80))+INDEX(Routes!$O$6:$O$9,$C80)+AO80+MIN(AD80*INDEX(Routes!$U$6:$U$9,$C80),INDEX(Routes!$W$6:$W$9,$C80)),0))*J80</f>
        <v>252304.2096</v>
      </c>
      <c r="AA80" s="67" t="n">
        <f aca="false">INDEX(Routes!$R$6:$R$9,$C80)+IF(P80=1,INDEX(Routes!$R$6:$R$9,$C80),INDEX(Routes!$S$6:$S$9,$C80))</f>
        <v>0</v>
      </c>
      <c r="AB80" s="67" t="n">
        <f aca="false">((R80*CO2_VLSFO+S80*CO2_MGO)*INDEX(Routes!$I$6:$I$9,$C80)+(U80*INDEX(Routes!$P$6:$P$9,$C80)+V80*INDEX(Routes!$Q$6:$Q$9,$C80))*ConsPort*CO2_MGO)*PhaseIn*K80*FX</f>
        <v>123936.40875</v>
      </c>
      <c r="AC80" s="71" t="n">
        <f aca="false">Capacity*G80</f>
        <v>30600</v>
      </c>
      <c r="AD80" s="71" t="n">
        <f aca="false">Capacity*H80</f>
        <v>18000</v>
      </c>
      <c r="AE80" s="82" t="n">
        <f aca="false">INDEX(Routes!$J$6:$J$9,$C80)*E80</f>
        <v>52</v>
      </c>
      <c r="AF80" s="82" t="n">
        <f aca="false">INDEX(Routes!$K$6:$K$9,$C80)*E80</f>
        <v>38</v>
      </c>
      <c r="AG80" s="67" t="n">
        <f aca="false">AC80*AE80+AD80*AF80</f>
        <v>2275200</v>
      </c>
      <c r="AH80" s="67" t="n">
        <f aca="false">AG80*Commission</f>
        <v>56880</v>
      </c>
      <c r="AI80" s="67" t="n">
        <f aca="false">Y80+Z80+AA80+AB80+MiscVoy</f>
        <v>958048.61835</v>
      </c>
      <c r="AJ80" s="77" t="n">
        <f aca="false">N80+U80+V80+W80</f>
        <v>49.4074074074074</v>
      </c>
      <c r="AK80" s="94" t="n">
        <f aca="false">(AG80-AH80-AI80)/AJ80</f>
        <v>25507.7416076087</v>
      </c>
      <c r="AL80" s="67" t="n">
        <f aca="false">AG80-AH80-AI80-Benchmark*AJ80</f>
        <v>370938.048316667</v>
      </c>
      <c r="AM80" s="82" t="n">
        <f aca="false">IF(AC80&gt;0,((Benchmark*AJ80+AI80)/(1-Commission)-AD80*AF80)/AC80,0)</f>
        <v>39.5670169828501</v>
      </c>
      <c r="AN80" s="67" t="n">
        <f aca="false">LOA_ft*Port_Tariffs!$C$9*IF((INDEX(Routes!$L$6:$L$9,$C80)*INDEX(Routes!$X$6:$X$9,$C80)*F80)&lt;=2,(INDEX(Routes!$L$6:$L$9,$C80)*INDEX(Routes!$X$6:$X$9,$C80)*F80),IF((INDEX(Routes!$L$6:$L$9,$C80)*INDEX(Routes!$X$6:$X$9,$C80)*F80)&lt;=3,2+0.9*((INDEX(Routes!$L$6:$L$9,$C80)*INDEX(Routes!$X$6:$X$9,$C80)*F80)-2),IF((INDEX(Routes!$L$6:$L$9,$C80)*INDEX(Routes!$X$6:$X$9,$C80)*F80)&lt;=4,2.9+0.75*((INDEX(Routes!$L$6:$L$9,$C80)*INDEX(Routes!$X$6:$X$9,$C80)*F80)-3),IF((INDEX(Routes!$L$6:$L$9,$C80)*INDEX(Routes!$X$6:$X$9,$C80)*F80)&lt;=5,3.65+0.6*((INDEX(Routes!$L$6:$L$9,$C80)*INDEX(Routes!$X$6:$X$9,$C80)*F80)-4),4.25+0.5*((INDEX(Routes!$L$6:$L$9,$C80)*INDEX(Routes!$X$6:$X$9,$C80)*F80)-5)))))</f>
        <v>19557.6</v>
      </c>
      <c r="AO80" s="67" t="n">
        <f aca="false">LOA_ft*Port_Tariffs!$C$9*IF((INDEX(Routes!$M$6:$M$9,$C80)*INDEX(Routes!$Y$6:$Y$9,$C80)*F80)&lt;=2,(INDEX(Routes!$M$6:$M$9,$C80)*INDEX(Routes!$Y$6:$Y$9,$C80)*F80),IF((INDEX(Routes!$M$6:$M$9,$C80)*INDEX(Routes!$Y$6:$Y$9,$C80)*F80)&lt;=3,2+0.9*((INDEX(Routes!$M$6:$M$9,$C80)*INDEX(Routes!$Y$6:$Y$9,$C80)*F80)-2),IF((INDEX(Routes!$M$6:$M$9,$C80)*INDEX(Routes!$Y$6:$Y$9,$C80)*F80)&lt;=4,2.9+0.75*((INDEX(Routes!$M$6:$M$9,$C80)*INDEX(Routes!$Y$6:$Y$9,$C80)*F80)-3),IF((INDEX(Routes!$M$6:$M$9,$C80)*INDEX(Routes!$Y$6:$Y$9,$C80)*F80)&lt;=5,3.65+0.6*((INDEX(Routes!$M$6:$M$9,$C80)*INDEX(Routes!$Y$6:$Y$9,$C80)*F80)-4),4.25+0.5*((INDEX(Routes!$M$6:$M$9,$C80)*INDEX(Routes!$Y$6:$Y$9,$C80)*F80)-5)))))</f>
        <v>0</v>
      </c>
    </row>
    <row r="81" customFormat="false" ht="15" hidden="false" customHeight="false" outlineLevel="0" collapsed="false">
      <c r="A81" s="2" t="s">
        <v>576</v>
      </c>
      <c r="B81" s="2" t="s">
        <v>564</v>
      </c>
      <c r="C81" s="16" t="n">
        <f aca="false">Sw_Route</f>
        <v>1</v>
      </c>
      <c r="D81" s="70" t="n">
        <v>80</v>
      </c>
      <c r="E81" s="88" t="n">
        <f aca="false">FreightMult</f>
        <v>1</v>
      </c>
      <c r="F81" s="88" t="n">
        <f aca="false">PortMult</f>
        <v>1</v>
      </c>
      <c r="G81" s="59" t="n">
        <v>0.85</v>
      </c>
      <c r="H81" s="89" t="n">
        <f aca="false">UtilBH</f>
        <v>0.5</v>
      </c>
      <c r="I81" s="90" t="n">
        <f aca="false">Speed</f>
        <v>13.5</v>
      </c>
      <c r="J81" s="88" t="n">
        <f aca="false">PortCostMult</f>
        <v>1</v>
      </c>
      <c r="K81" s="90" t="n">
        <f aca="false">EUA</f>
        <v>75</v>
      </c>
      <c r="L81" s="71" t="n">
        <f aca="false">INDEX(Routes!$E$6:$E$9,$C81)</f>
        <v>5000</v>
      </c>
      <c r="M81" s="72" t="n">
        <f aca="false">INDEX(Routes!$F$6:$F$9,$C81)/L81</f>
        <v>0.13</v>
      </c>
      <c r="N81" s="77" t="n">
        <f aca="false">2*L81*(1+SeaMargin)/(I81*24)</f>
        <v>32.4074074074074</v>
      </c>
      <c r="O81" s="84" t="n">
        <f aca="false">(I81/RefSpeed)^SpeedExp</f>
        <v>1</v>
      </c>
      <c r="P81" s="2" t="n">
        <f aca="false">IF(H81&gt;0,1,0)</f>
        <v>1</v>
      </c>
      <c r="Q81" s="71" t="n">
        <f aca="false">N81/2*O81*(ConsLaden+IF(P81=1,ConsLaden,ConsBallast))</f>
        <v>875</v>
      </c>
      <c r="R81" s="71" t="n">
        <f aca="false">Q81*(1-M81)</f>
        <v>761.25</v>
      </c>
      <c r="S81" s="71" t="n">
        <f aca="false">Q81*M81</f>
        <v>113.75</v>
      </c>
      <c r="T81" s="2" t="n">
        <f aca="false">1+P81</f>
        <v>2</v>
      </c>
      <c r="U81" s="77" t="n">
        <f aca="false">INDEX(Routes!$L$6:$L$9,$C81)*T81*F81</f>
        <v>10</v>
      </c>
      <c r="V81" s="77" t="n">
        <f aca="false">INDEX(Routes!$M$6:$M$9,$C81)*T81*F81</f>
        <v>7</v>
      </c>
      <c r="W81" s="77" t="n">
        <f aca="false">INDEX(Routes!$H$6:$H$9,$C81)*2</f>
        <v>0</v>
      </c>
      <c r="X81" s="71" t="n">
        <f aca="false">(U81+V81+W81)*ConsPort</f>
        <v>102</v>
      </c>
      <c r="Y81" s="67" t="n">
        <f aca="false">R81*D81*VLSFO_Mult+(S81+X81)*D81*MGO_Mult</f>
        <v>636352</v>
      </c>
      <c r="Z81" s="67" t="n">
        <f aca="false">(INDEX(Routes!$N$6:$N$9,$C81)+AN81+MIN(AC81*INDEX(Routes!$T$6:$T$9,$C81),INDEX(Routes!$V$6:$V$9,$C81))+INDEX(Routes!$O$6:$O$9,$C81)+AO81+MIN(AC81*INDEX(Routes!$U$6:$U$9,$C81),INDEX(Routes!$W$6:$W$9,$C81))+IF(P81=1,INDEX(Routes!$N$6:$N$9,$C81)+AN81+MIN(AD81*INDEX(Routes!$T$6:$T$9,$C81),INDEX(Routes!$V$6:$V$9,$C81))+INDEX(Routes!$O$6:$O$9,$C81)+AO81+MIN(AD81*INDEX(Routes!$U$6:$U$9,$C81),INDEX(Routes!$W$6:$W$9,$C81)),0))*J81</f>
        <v>252304.2096</v>
      </c>
      <c r="AA81" s="67" t="n">
        <f aca="false">INDEX(Routes!$R$6:$R$9,$C81)+IF(P81=1,INDEX(Routes!$R$6:$R$9,$C81),INDEX(Routes!$S$6:$S$9,$C81))</f>
        <v>0</v>
      </c>
      <c r="AB81" s="67" t="n">
        <f aca="false">((R81*CO2_VLSFO+S81*CO2_MGO)*INDEX(Routes!$I$6:$I$9,$C81)+(U81*INDEX(Routes!$P$6:$P$9,$C81)+V81*INDEX(Routes!$Q$6:$Q$9,$C81))*ConsPort*CO2_MGO)*PhaseIn*K81*FX</f>
        <v>123936.40875</v>
      </c>
      <c r="AC81" s="71" t="n">
        <f aca="false">Capacity*G81</f>
        <v>30600</v>
      </c>
      <c r="AD81" s="71" t="n">
        <f aca="false">Capacity*H81</f>
        <v>18000</v>
      </c>
      <c r="AE81" s="82" t="n">
        <f aca="false">INDEX(Routes!$J$6:$J$9,$C81)*E81</f>
        <v>52</v>
      </c>
      <c r="AF81" s="82" t="n">
        <f aca="false">INDEX(Routes!$K$6:$K$9,$C81)*E81</f>
        <v>38</v>
      </c>
      <c r="AG81" s="67" t="n">
        <f aca="false">AC81*AE81+AD81*AF81</f>
        <v>2275200</v>
      </c>
      <c r="AH81" s="67" t="n">
        <f aca="false">AG81*Commission</f>
        <v>56880</v>
      </c>
      <c r="AI81" s="67" t="n">
        <f aca="false">Y81+Z81+AA81+AB81+MiscVoy</f>
        <v>1037592.61835</v>
      </c>
      <c r="AJ81" s="77" t="n">
        <f aca="false">N81+U81+V81+W81</f>
        <v>49.4074074074074</v>
      </c>
      <c r="AK81" s="94" t="n">
        <f aca="false">(AG81-AH81-AI81)/AJ81</f>
        <v>23897.7805881184</v>
      </c>
      <c r="AL81" s="67" t="n">
        <f aca="false">AG81-AH81-AI81-Benchmark*AJ81</f>
        <v>291394.048316667</v>
      </c>
      <c r="AM81" s="82" t="n">
        <f aca="false">IF(AC81&gt;0,((Benchmark*AJ81+AI81)/(1-Commission)-AD81*AF81)/AC81,0)</f>
        <v>42.2331473666276</v>
      </c>
      <c r="AN81" s="67" t="n">
        <f aca="false">LOA_ft*Port_Tariffs!$C$9*IF((INDEX(Routes!$L$6:$L$9,$C81)*INDEX(Routes!$X$6:$X$9,$C81)*F81)&lt;=2,(INDEX(Routes!$L$6:$L$9,$C81)*INDEX(Routes!$X$6:$X$9,$C81)*F81),IF((INDEX(Routes!$L$6:$L$9,$C81)*INDEX(Routes!$X$6:$X$9,$C81)*F81)&lt;=3,2+0.9*((INDEX(Routes!$L$6:$L$9,$C81)*INDEX(Routes!$X$6:$X$9,$C81)*F81)-2),IF((INDEX(Routes!$L$6:$L$9,$C81)*INDEX(Routes!$X$6:$X$9,$C81)*F81)&lt;=4,2.9+0.75*((INDEX(Routes!$L$6:$L$9,$C81)*INDEX(Routes!$X$6:$X$9,$C81)*F81)-3),IF((INDEX(Routes!$L$6:$L$9,$C81)*INDEX(Routes!$X$6:$X$9,$C81)*F81)&lt;=5,3.65+0.6*((INDEX(Routes!$L$6:$L$9,$C81)*INDEX(Routes!$X$6:$X$9,$C81)*F81)-4),4.25+0.5*((INDEX(Routes!$L$6:$L$9,$C81)*INDEX(Routes!$X$6:$X$9,$C81)*F81)-5)))))</f>
        <v>19557.6</v>
      </c>
      <c r="AO81" s="67" t="n">
        <f aca="false">LOA_ft*Port_Tariffs!$C$9*IF((INDEX(Routes!$M$6:$M$9,$C81)*INDEX(Routes!$Y$6:$Y$9,$C81)*F81)&lt;=2,(INDEX(Routes!$M$6:$M$9,$C81)*INDEX(Routes!$Y$6:$Y$9,$C81)*F81),IF((INDEX(Routes!$M$6:$M$9,$C81)*INDEX(Routes!$Y$6:$Y$9,$C81)*F81)&lt;=3,2+0.9*((INDEX(Routes!$M$6:$M$9,$C81)*INDEX(Routes!$Y$6:$Y$9,$C81)*F81)-2),IF((INDEX(Routes!$M$6:$M$9,$C81)*INDEX(Routes!$Y$6:$Y$9,$C81)*F81)&lt;=4,2.9+0.75*((INDEX(Routes!$M$6:$M$9,$C81)*INDEX(Routes!$Y$6:$Y$9,$C81)*F81)-3),IF((INDEX(Routes!$M$6:$M$9,$C81)*INDEX(Routes!$Y$6:$Y$9,$C81)*F81)&lt;=5,3.65+0.6*((INDEX(Routes!$M$6:$M$9,$C81)*INDEX(Routes!$Y$6:$Y$9,$C81)*F81)-4),4.25+0.5*((INDEX(Routes!$M$6:$M$9,$C81)*INDEX(Routes!$Y$6:$Y$9,$C81)*F81)-5)))))</f>
        <v>0</v>
      </c>
    </row>
    <row r="82" customFormat="false" ht="15" hidden="false" customHeight="false" outlineLevel="0" collapsed="false">
      <c r="A82" s="2" t="s">
        <v>577</v>
      </c>
      <c r="B82" s="2" t="s">
        <v>564</v>
      </c>
      <c r="C82" s="16" t="n">
        <f aca="false">Sw_Route</f>
        <v>1</v>
      </c>
      <c r="D82" s="70" t="n">
        <v>90</v>
      </c>
      <c r="E82" s="88" t="n">
        <f aca="false">FreightMult</f>
        <v>1</v>
      </c>
      <c r="F82" s="88" t="n">
        <f aca="false">PortMult</f>
        <v>1</v>
      </c>
      <c r="G82" s="59" t="n">
        <v>0.85</v>
      </c>
      <c r="H82" s="89" t="n">
        <f aca="false">UtilBH</f>
        <v>0.5</v>
      </c>
      <c r="I82" s="90" t="n">
        <f aca="false">Speed</f>
        <v>13.5</v>
      </c>
      <c r="J82" s="88" t="n">
        <f aca="false">PortCostMult</f>
        <v>1</v>
      </c>
      <c r="K82" s="90" t="n">
        <f aca="false">EUA</f>
        <v>75</v>
      </c>
      <c r="L82" s="71" t="n">
        <f aca="false">INDEX(Routes!$E$6:$E$9,$C82)</f>
        <v>5000</v>
      </c>
      <c r="M82" s="72" t="n">
        <f aca="false">INDEX(Routes!$F$6:$F$9,$C82)/L82</f>
        <v>0.13</v>
      </c>
      <c r="N82" s="77" t="n">
        <f aca="false">2*L82*(1+SeaMargin)/(I82*24)</f>
        <v>32.4074074074074</v>
      </c>
      <c r="O82" s="84" t="n">
        <f aca="false">(I82/RefSpeed)^SpeedExp</f>
        <v>1</v>
      </c>
      <c r="P82" s="2" t="n">
        <f aca="false">IF(H82&gt;0,1,0)</f>
        <v>1</v>
      </c>
      <c r="Q82" s="71" t="n">
        <f aca="false">N82/2*O82*(ConsLaden+IF(P82=1,ConsLaden,ConsBallast))</f>
        <v>875</v>
      </c>
      <c r="R82" s="71" t="n">
        <f aca="false">Q82*(1-M82)</f>
        <v>761.25</v>
      </c>
      <c r="S82" s="71" t="n">
        <f aca="false">Q82*M82</f>
        <v>113.75</v>
      </c>
      <c r="T82" s="2" t="n">
        <f aca="false">1+P82</f>
        <v>2</v>
      </c>
      <c r="U82" s="77" t="n">
        <f aca="false">INDEX(Routes!$L$6:$L$9,$C82)*T82*F82</f>
        <v>10</v>
      </c>
      <c r="V82" s="77" t="n">
        <f aca="false">INDEX(Routes!$M$6:$M$9,$C82)*T82*F82</f>
        <v>7</v>
      </c>
      <c r="W82" s="77" t="n">
        <f aca="false">INDEX(Routes!$H$6:$H$9,$C82)*2</f>
        <v>0</v>
      </c>
      <c r="X82" s="71" t="n">
        <f aca="false">(U82+V82+W82)*ConsPort</f>
        <v>102</v>
      </c>
      <c r="Y82" s="67" t="n">
        <f aca="false">R82*D82*VLSFO_Mult+(S82+X82)*D82*MGO_Mult</f>
        <v>715896</v>
      </c>
      <c r="Z82" s="67" t="n">
        <f aca="false">(INDEX(Routes!$N$6:$N$9,$C82)+AN82+MIN(AC82*INDEX(Routes!$T$6:$T$9,$C82),INDEX(Routes!$V$6:$V$9,$C82))+INDEX(Routes!$O$6:$O$9,$C82)+AO82+MIN(AC82*INDEX(Routes!$U$6:$U$9,$C82),INDEX(Routes!$W$6:$W$9,$C82))+IF(P82=1,INDEX(Routes!$N$6:$N$9,$C82)+AN82+MIN(AD82*INDEX(Routes!$T$6:$T$9,$C82),INDEX(Routes!$V$6:$V$9,$C82))+INDEX(Routes!$O$6:$O$9,$C82)+AO82+MIN(AD82*INDEX(Routes!$U$6:$U$9,$C82),INDEX(Routes!$W$6:$W$9,$C82)),0))*J82</f>
        <v>252304.2096</v>
      </c>
      <c r="AA82" s="67" t="n">
        <f aca="false">INDEX(Routes!$R$6:$R$9,$C82)+IF(P82=1,INDEX(Routes!$R$6:$R$9,$C82),INDEX(Routes!$S$6:$S$9,$C82))</f>
        <v>0</v>
      </c>
      <c r="AB82" s="67" t="n">
        <f aca="false">((R82*CO2_VLSFO+S82*CO2_MGO)*INDEX(Routes!$I$6:$I$9,$C82)+(U82*INDEX(Routes!$P$6:$P$9,$C82)+V82*INDEX(Routes!$Q$6:$Q$9,$C82))*ConsPort*CO2_MGO)*PhaseIn*K82*FX</f>
        <v>123936.40875</v>
      </c>
      <c r="AC82" s="71" t="n">
        <f aca="false">Capacity*G82</f>
        <v>30600</v>
      </c>
      <c r="AD82" s="71" t="n">
        <f aca="false">Capacity*H82</f>
        <v>18000</v>
      </c>
      <c r="AE82" s="82" t="n">
        <f aca="false">INDEX(Routes!$J$6:$J$9,$C82)*E82</f>
        <v>52</v>
      </c>
      <c r="AF82" s="82" t="n">
        <f aca="false">INDEX(Routes!$K$6:$K$9,$C82)*E82</f>
        <v>38</v>
      </c>
      <c r="AG82" s="67" t="n">
        <f aca="false">AC82*AE82+AD82*AF82</f>
        <v>2275200</v>
      </c>
      <c r="AH82" s="67" t="n">
        <f aca="false">AG82*Commission</f>
        <v>56880</v>
      </c>
      <c r="AI82" s="67" t="n">
        <f aca="false">Y82+Z82+AA82+AB82+MiscVoy</f>
        <v>1117136.61835</v>
      </c>
      <c r="AJ82" s="77" t="n">
        <f aca="false">N82+U82+V82+W82</f>
        <v>49.4074074074074</v>
      </c>
      <c r="AK82" s="94" t="n">
        <f aca="false">(AG82-AH82-AI82)/AJ82</f>
        <v>22287.8195686282</v>
      </c>
      <c r="AL82" s="67" t="n">
        <f aca="false">AG82-AH82-AI82-Benchmark*AJ82</f>
        <v>211850.048316667</v>
      </c>
      <c r="AM82" s="82" t="n">
        <f aca="false">IF(AC82&gt;0,((Benchmark*AJ82+AI82)/(1-Commission)-AD82*AF82)/AC82,0)</f>
        <v>44.899277750405</v>
      </c>
      <c r="AN82" s="67" t="n">
        <f aca="false">LOA_ft*Port_Tariffs!$C$9*IF((INDEX(Routes!$L$6:$L$9,$C82)*INDEX(Routes!$X$6:$X$9,$C82)*F82)&lt;=2,(INDEX(Routes!$L$6:$L$9,$C82)*INDEX(Routes!$X$6:$X$9,$C82)*F82),IF((INDEX(Routes!$L$6:$L$9,$C82)*INDEX(Routes!$X$6:$X$9,$C82)*F82)&lt;=3,2+0.9*((INDEX(Routes!$L$6:$L$9,$C82)*INDEX(Routes!$X$6:$X$9,$C82)*F82)-2),IF((INDEX(Routes!$L$6:$L$9,$C82)*INDEX(Routes!$X$6:$X$9,$C82)*F82)&lt;=4,2.9+0.75*((INDEX(Routes!$L$6:$L$9,$C82)*INDEX(Routes!$X$6:$X$9,$C82)*F82)-3),IF((INDEX(Routes!$L$6:$L$9,$C82)*INDEX(Routes!$X$6:$X$9,$C82)*F82)&lt;=5,3.65+0.6*((INDEX(Routes!$L$6:$L$9,$C82)*INDEX(Routes!$X$6:$X$9,$C82)*F82)-4),4.25+0.5*((INDEX(Routes!$L$6:$L$9,$C82)*INDEX(Routes!$X$6:$X$9,$C82)*F82)-5)))))</f>
        <v>19557.6</v>
      </c>
      <c r="AO82" s="67" t="n">
        <f aca="false">LOA_ft*Port_Tariffs!$C$9*IF((INDEX(Routes!$M$6:$M$9,$C82)*INDEX(Routes!$Y$6:$Y$9,$C82)*F82)&lt;=2,(INDEX(Routes!$M$6:$M$9,$C82)*INDEX(Routes!$Y$6:$Y$9,$C82)*F82),IF((INDEX(Routes!$M$6:$M$9,$C82)*INDEX(Routes!$Y$6:$Y$9,$C82)*F82)&lt;=3,2+0.9*((INDEX(Routes!$M$6:$M$9,$C82)*INDEX(Routes!$Y$6:$Y$9,$C82)*F82)-2),IF((INDEX(Routes!$M$6:$M$9,$C82)*INDEX(Routes!$Y$6:$Y$9,$C82)*F82)&lt;=4,2.9+0.75*((INDEX(Routes!$M$6:$M$9,$C82)*INDEX(Routes!$Y$6:$Y$9,$C82)*F82)-3),IF((INDEX(Routes!$M$6:$M$9,$C82)*INDEX(Routes!$Y$6:$Y$9,$C82)*F82)&lt;=5,3.65+0.6*((INDEX(Routes!$M$6:$M$9,$C82)*INDEX(Routes!$Y$6:$Y$9,$C82)*F82)-4),4.25+0.5*((INDEX(Routes!$M$6:$M$9,$C82)*INDEX(Routes!$Y$6:$Y$9,$C82)*F82)-5)))))</f>
        <v>0</v>
      </c>
    </row>
    <row r="83" customFormat="false" ht="15" hidden="false" customHeight="false" outlineLevel="0" collapsed="false">
      <c r="A83" s="2" t="s">
        <v>578</v>
      </c>
      <c r="B83" s="2" t="s">
        <v>564</v>
      </c>
      <c r="C83" s="16" t="n">
        <f aca="false">Sw_Route</f>
        <v>1</v>
      </c>
      <c r="D83" s="70" t="n">
        <v>100</v>
      </c>
      <c r="E83" s="88" t="n">
        <f aca="false">FreightMult</f>
        <v>1</v>
      </c>
      <c r="F83" s="88" t="n">
        <f aca="false">PortMult</f>
        <v>1</v>
      </c>
      <c r="G83" s="59" t="n">
        <v>0.85</v>
      </c>
      <c r="H83" s="89" t="n">
        <f aca="false">UtilBH</f>
        <v>0.5</v>
      </c>
      <c r="I83" s="90" t="n">
        <f aca="false">Speed</f>
        <v>13.5</v>
      </c>
      <c r="J83" s="88" t="n">
        <f aca="false">PortCostMult</f>
        <v>1</v>
      </c>
      <c r="K83" s="90" t="n">
        <f aca="false">EUA</f>
        <v>75</v>
      </c>
      <c r="L83" s="71" t="n">
        <f aca="false">INDEX(Routes!$E$6:$E$9,$C83)</f>
        <v>5000</v>
      </c>
      <c r="M83" s="72" t="n">
        <f aca="false">INDEX(Routes!$F$6:$F$9,$C83)/L83</f>
        <v>0.13</v>
      </c>
      <c r="N83" s="77" t="n">
        <f aca="false">2*L83*(1+SeaMargin)/(I83*24)</f>
        <v>32.4074074074074</v>
      </c>
      <c r="O83" s="84" t="n">
        <f aca="false">(I83/RefSpeed)^SpeedExp</f>
        <v>1</v>
      </c>
      <c r="P83" s="2" t="n">
        <f aca="false">IF(H83&gt;0,1,0)</f>
        <v>1</v>
      </c>
      <c r="Q83" s="71" t="n">
        <f aca="false">N83/2*O83*(ConsLaden+IF(P83=1,ConsLaden,ConsBallast))</f>
        <v>875</v>
      </c>
      <c r="R83" s="71" t="n">
        <f aca="false">Q83*(1-M83)</f>
        <v>761.25</v>
      </c>
      <c r="S83" s="71" t="n">
        <f aca="false">Q83*M83</f>
        <v>113.75</v>
      </c>
      <c r="T83" s="2" t="n">
        <f aca="false">1+P83</f>
        <v>2</v>
      </c>
      <c r="U83" s="77" t="n">
        <f aca="false">INDEX(Routes!$L$6:$L$9,$C83)*T83*F83</f>
        <v>10</v>
      </c>
      <c r="V83" s="77" t="n">
        <f aca="false">INDEX(Routes!$M$6:$M$9,$C83)*T83*F83</f>
        <v>7</v>
      </c>
      <c r="W83" s="77" t="n">
        <f aca="false">INDEX(Routes!$H$6:$H$9,$C83)*2</f>
        <v>0</v>
      </c>
      <c r="X83" s="71" t="n">
        <f aca="false">(U83+V83+W83)*ConsPort</f>
        <v>102</v>
      </c>
      <c r="Y83" s="67" t="n">
        <f aca="false">R83*D83*VLSFO_Mult+(S83+X83)*D83*MGO_Mult</f>
        <v>795440</v>
      </c>
      <c r="Z83" s="67" t="n">
        <f aca="false">(INDEX(Routes!$N$6:$N$9,$C83)+AN83+MIN(AC83*INDEX(Routes!$T$6:$T$9,$C83),INDEX(Routes!$V$6:$V$9,$C83))+INDEX(Routes!$O$6:$O$9,$C83)+AO83+MIN(AC83*INDEX(Routes!$U$6:$U$9,$C83),INDEX(Routes!$W$6:$W$9,$C83))+IF(P83=1,INDEX(Routes!$N$6:$N$9,$C83)+AN83+MIN(AD83*INDEX(Routes!$T$6:$T$9,$C83),INDEX(Routes!$V$6:$V$9,$C83))+INDEX(Routes!$O$6:$O$9,$C83)+AO83+MIN(AD83*INDEX(Routes!$U$6:$U$9,$C83),INDEX(Routes!$W$6:$W$9,$C83)),0))*J83</f>
        <v>252304.2096</v>
      </c>
      <c r="AA83" s="67" t="n">
        <f aca="false">INDEX(Routes!$R$6:$R$9,$C83)+IF(P83=1,INDEX(Routes!$R$6:$R$9,$C83),INDEX(Routes!$S$6:$S$9,$C83))</f>
        <v>0</v>
      </c>
      <c r="AB83" s="67" t="n">
        <f aca="false">((R83*CO2_VLSFO+S83*CO2_MGO)*INDEX(Routes!$I$6:$I$9,$C83)+(U83*INDEX(Routes!$P$6:$P$9,$C83)+V83*INDEX(Routes!$Q$6:$Q$9,$C83))*ConsPort*CO2_MGO)*PhaseIn*K83*FX</f>
        <v>123936.40875</v>
      </c>
      <c r="AC83" s="71" t="n">
        <f aca="false">Capacity*G83</f>
        <v>30600</v>
      </c>
      <c r="AD83" s="71" t="n">
        <f aca="false">Capacity*H83</f>
        <v>18000</v>
      </c>
      <c r="AE83" s="82" t="n">
        <f aca="false">INDEX(Routes!$J$6:$J$9,$C83)*E83</f>
        <v>52</v>
      </c>
      <c r="AF83" s="82" t="n">
        <f aca="false">INDEX(Routes!$K$6:$K$9,$C83)*E83</f>
        <v>38</v>
      </c>
      <c r="AG83" s="67" t="n">
        <f aca="false">AC83*AE83+AD83*AF83</f>
        <v>2275200</v>
      </c>
      <c r="AH83" s="67" t="n">
        <f aca="false">AG83*Commission</f>
        <v>56880</v>
      </c>
      <c r="AI83" s="67" t="n">
        <f aca="false">Y83+Z83+AA83+AB83+MiscVoy</f>
        <v>1196680.61835</v>
      </c>
      <c r="AJ83" s="77" t="n">
        <f aca="false">N83+U83+V83+W83</f>
        <v>49.4074074074074</v>
      </c>
      <c r="AK83" s="94" t="n">
        <f aca="false">(AG83-AH83-AI83)/AJ83</f>
        <v>20677.8585491379</v>
      </c>
      <c r="AL83" s="67" t="n">
        <f aca="false">AG83-AH83-AI83-Benchmark*AJ83</f>
        <v>132306.048316667</v>
      </c>
      <c r="AM83" s="82" t="n">
        <f aca="false">IF(AC83&gt;0,((Benchmark*AJ83+AI83)/(1-Commission)-AD83*AF83)/AC83,0)</f>
        <v>47.5654081341824</v>
      </c>
      <c r="AN83" s="67" t="n">
        <f aca="false">LOA_ft*Port_Tariffs!$C$9*IF((INDEX(Routes!$L$6:$L$9,$C83)*INDEX(Routes!$X$6:$X$9,$C83)*F83)&lt;=2,(INDEX(Routes!$L$6:$L$9,$C83)*INDEX(Routes!$X$6:$X$9,$C83)*F83),IF((INDEX(Routes!$L$6:$L$9,$C83)*INDEX(Routes!$X$6:$X$9,$C83)*F83)&lt;=3,2+0.9*((INDEX(Routes!$L$6:$L$9,$C83)*INDEX(Routes!$X$6:$X$9,$C83)*F83)-2),IF((INDEX(Routes!$L$6:$L$9,$C83)*INDEX(Routes!$X$6:$X$9,$C83)*F83)&lt;=4,2.9+0.75*((INDEX(Routes!$L$6:$L$9,$C83)*INDEX(Routes!$X$6:$X$9,$C83)*F83)-3),IF((INDEX(Routes!$L$6:$L$9,$C83)*INDEX(Routes!$X$6:$X$9,$C83)*F83)&lt;=5,3.65+0.6*((INDEX(Routes!$L$6:$L$9,$C83)*INDEX(Routes!$X$6:$X$9,$C83)*F83)-4),4.25+0.5*((INDEX(Routes!$L$6:$L$9,$C83)*INDEX(Routes!$X$6:$X$9,$C83)*F83)-5)))))</f>
        <v>19557.6</v>
      </c>
      <c r="AO83" s="67" t="n">
        <f aca="false">LOA_ft*Port_Tariffs!$C$9*IF((INDEX(Routes!$M$6:$M$9,$C83)*INDEX(Routes!$Y$6:$Y$9,$C83)*F83)&lt;=2,(INDEX(Routes!$M$6:$M$9,$C83)*INDEX(Routes!$Y$6:$Y$9,$C83)*F83),IF((INDEX(Routes!$M$6:$M$9,$C83)*INDEX(Routes!$Y$6:$Y$9,$C83)*F83)&lt;=3,2+0.9*((INDEX(Routes!$M$6:$M$9,$C83)*INDEX(Routes!$Y$6:$Y$9,$C83)*F83)-2),IF((INDEX(Routes!$M$6:$M$9,$C83)*INDEX(Routes!$Y$6:$Y$9,$C83)*F83)&lt;=4,2.9+0.75*((INDEX(Routes!$M$6:$M$9,$C83)*INDEX(Routes!$Y$6:$Y$9,$C83)*F83)-3),IF((INDEX(Routes!$M$6:$M$9,$C83)*INDEX(Routes!$Y$6:$Y$9,$C83)*F83)&lt;=5,3.65+0.6*((INDEX(Routes!$M$6:$M$9,$C83)*INDEX(Routes!$Y$6:$Y$9,$C83)*F83)-4),4.25+0.5*((INDEX(Routes!$M$6:$M$9,$C83)*INDEX(Routes!$Y$6:$Y$9,$C83)*F83)-5)))))</f>
        <v>0</v>
      </c>
    </row>
    <row r="84" customFormat="false" ht="15" hidden="false" customHeight="false" outlineLevel="0" collapsed="false">
      <c r="A84" s="2" t="s">
        <v>579</v>
      </c>
      <c r="B84" s="2" t="s">
        <v>564</v>
      </c>
      <c r="C84" s="16" t="n">
        <f aca="false">Sw_Route</f>
        <v>1</v>
      </c>
      <c r="D84" s="70" t="n">
        <v>110</v>
      </c>
      <c r="E84" s="88" t="n">
        <f aca="false">FreightMult</f>
        <v>1</v>
      </c>
      <c r="F84" s="88" t="n">
        <f aca="false">PortMult</f>
        <v>1</v>
      </c>
      <c r="G84" s="59" t="n">
        <v>0.85</v>
      </c>
      <c r="H84" s="89" t="n">
        <f aca="false">UtilBH</f>
        <v>0.5</v>
      </c>
      <c r="I84" s="90" t="n">
        <f aca="false">Speed</f>
        <v>13.5</v>
      </c>
      <c r="J84" s="88" t="n">
        <f aca="false">PortCostMult</f>
        <v>1</v>
      </c>
      <c r="K84" s="90" t="n">
        <f aca="false">EUA</f>
        <v>75</v>
      </c>
      <c r="L84" s="71" t="n">
        <f aca="false">INDEX(Routes!$E$6:$E$9,$C84)</f>
        <v>5000</v>
      </c>
      <c r="M84" s="72" t="n">
        <f aca="false">INDEX(Routes!$F$6:$F$9,$C84)/L84</f>
        <v>0.13</v>
      </c>
      <c r="N84" s="77" t="n">
        <f aca="false">2*L84*(1+SeaMargin)/(I84*24)</f>
        <v>32.4074074074074</v>
      </c>
      <c r="O84" s="84" t="n">
        <f aca="false">(I84/RefSpeed)^SpeedExp</f>
        <v>1</v>
      </c>
      <c r="P84" s="2" t="n">
        <f aca="false">IF(H84&gt;0,1,0)</f>
        <v>1</v>
      </c>
      <c r="Q84" s="71" t="n">
        <f aca="false">N84/2*O84*(ConsLaden+IF(P84=1,ConsLaden,ConsBallast))</f>
        <v>875</v>
      </c>
      <c r="R84" s="71" t="n">
        <f aca="false">Q84*(1-M84)</f>
        <v>761.25</v>
      </c>
      <c r="S84" s="71" t="n">
        <f aca="false">Q84*M84</f>
        <v>113.75</v>
      </c>
      <c r="T84" s="2" t="n">
        <f aca="false">1+P84</f>
        <v>2</v>
      </c>
      <c r="U84" s="77" t="n">
        <f aca="false">INDEX(Routes!$L$6:$L$9,$C84)*T84*F84</f>
        <v>10</v>
      </c>
      <c r="V84" s="77" t="n">
        <f aca="false">INDEX(Routes!$M$6:$M$9,$C84)*T84*F84</f>
        <v>7</v>
      </c>
      <c r="W84" s="77" t="n">
        <f aca="false">INDEX(Routes!$H$6:$H$9,$C84)*2</f>
        <v>0</v>
      </c>
      <c r="X84" s="71" t="n">
        <f aca="false">(U84+V84+W84)*ConsPort</f>
        <v>102</v>
      </c>
      <c r="Y84" s="67" t="n">
        <f aca="false">R84*D84*VLSFO_Mult+(S84+X84)*D84*MGO_Mult</f>
        <v>874984</v>
      </c>
      <c r="Z84" s="67" t="n">
        <f aca="false">(INDEX(Routes!$N$6:$N$9,$C84)+AN84+MIN(AC84*INDEX(Routes!$T$6:$T$9,$C84),INDEX(Routes!$V$6:$V$9,$C84))+INDEX(Routes!$O$6:$O$9,$C84)+AO84+MIN(AC84*INDEX(Routes!$U$6:$U$9,$C84),INDEX(Routes!$W$6:$W$9,$C84))+IF(P84=1,INDEX(Routes!$N$6:$N$9,$C84)+AN84+MIN(AD84*INDEX(Routes!$T$6:$T$9,$C84),INDEX(Routes!$V$6:$V$9,$C84))+INDEX(Routes!$O$6:$O$9,$C84)+AO84+MIN(AD84*INDEX(Routes!$U$6:$U$9,$C84),INDEX(Routes!$W$6:$W$9,$C84)),0))*J84</f>
        <v>252304.2096</v>
      </c>
      <c r="AA84" s="67" t="n">
        <f aca="false">INDEX(Routes!$R$6:$R$9,$C84)+IF(P84=1,INDEX(Routes!$R$6:$R$9,$C84),INDEX(Routes!$S$6:$S$9,$C84))</f>
        <v>0</v>
      </c>
      <c r="AB84" s="67" t="n">
        <f aca="false">((R84*CO2_VLSFO+S84*CO2_MGO)*INDEX(Routes!$I$6:$I$9,$C84)+(U84*INDEX(Routes!$P$6:$P$9,$C84)+V84*INDEX(Routes!$Q$6:$Q$9,$C84))*ConsPort*CO2_MGO)*PhaseIn*K84*FX</f>
        <v>123936.40875</v>
      </c>
      <c r="AC84" s="71" t="n">
        <f aca="false">Capacity*G84</f>
        <v>30600</v>
      </c>
      <c r="AD84" s="71" t="n">
        <f aca="false">Capacity*H84</f>
        <v>18000</v>
      </c>
      <c r="AE84" s="82" t="n">
        <f aca="false">INDEX(Routes!$J$6:$J$9,$C84)*E84</f>
        <v>52</v>
      </c>
      <c r="AF84" s="82" t="n">
        <f aca="false">INDEX(Routes!$K$6:$K$9,$C84)*E84</f>
        <v>38</v>
      </c>
      <c r="AG84" s="67" t="n">
        <f aca="false">AC84*AE84+AD84*AF84</f>
        <v>2275200</v>
      </c>
      <c r="AH84" s="67" t="n">
        <f aca="false">AG84*Commission</f>
        <v>56880</v>
      </c>
      <c r="AI84" s="67" t="n">
        <f aca="false">Y84+Z84+AA84+AB84+MiscVoy</f>
        <v>1276224.61835</v>
      </c>
      <c r="AJ84" s="77" t="n">
        <f aca="false">N84+U84+V84+W84</f>
        <v>49.4074074074074</v>
      </c>
      <c r="AK84" s="94" t="n">
        <f aca="false">(AG84-AH84-AI84)/AJ84</f>
        <v>19067.8975296477</v>
      </c>
      <c r="AL84" s="67" t="n">
        <f aca="false">AG84-AH84-AI84-Benchmark*AJ84</f>
        <v>52762.0483166669</v>
      </c>
      <c r="AM84" s="82" t="n">
        <f aca="false">IF(AC84&gt;0,((Benchmark*AJ84+AI84)/(1-Commission)-AD84*AF84)/AC84,0)</f>
        <v>50.2315385179599</v>
      </c>
      <c r="AN84" s="67" t="n">
        <f aca="false">LOA_ft*Port_Tariffs!$C$9*IF((INDEX(Routes!$L$6:$L$9,$C84)*INDEX(Routes!$X$6:$X$9,$C84)*F84)&lt;=2,(INDEX(Routes!$L$6:$L$9,$C84)*INDEX(Routes!$X$6:$X$9,$C84)*F84),IF((INDEX(Routes!$L$6:$L$9,$C84)*INDEX(Routes!$X$6:$X$9,$C84)*F84)&lt;=3,2+0.9*((INDEX(Routes!$L$6:$L$9,$C84)*INDEX(Routes!$X$6:$X$9,$C84)*F84)-2),IF((INDEX(Routes!$L$6:$L$9,$C84)*INDEX(Routes!$X$6:$X$9,$C84)*F84)&lt;=4,2.9+0.75*((INDEX(Routes!$L$6:$L$9,$C84)*INDEX(Routes!$X$6:$X$9,$C84)*F84)-3),IF((INDEX(Routes!$L$6:$L$9,$C84)*INDEX(Routes!$X$6:$X$9,$C84)*F84)&lt;=5,3.65+0.6*((INDEX(Routes!$L$6:$L$9,$C84)*INDEX(Routes!$X$6:$X$9,$C84)*F84)-4),4.25+0.5*((INDEX(Routes!$L$6:$L$9,$C84)*INDEX(Routes!$X$6:$X$9,$C84)*F84)-5)))))</f>
        <v>19557.6</v>
      </c>
      <c r="AO84" s="67" t="n">
        <f aca="false">LOA_ft*Port_Tariffs!$C$9*IF((INDEX(Routes!$M$6:$M$9,$C84)*INDEX(Routes!$Y$6:$Y$9,$C84)*F84)&lt;=2,(INDEX(Routes!$M$6:$M$9,$C84)*INDEX(Routes!$Y$6:$Y$9,$C84)*F84),IF((INDEX(Routes!$M$6:$M$9,$C84)*INDEX(Routes!$Y$6:$Y$9,$C84)*F84)&lt;=3,2+0.9*((INDEX(Routes!$M$6:$M$9,$C84)*INDEX(Routes!$Y$6:$Y$9,$C84)*F84)-2),IF((INDEX(Routes!$M$6:$M$9,$C84)*INDEX(Routes!$Y$6:$Y$9,$C84)*F84)&lt;=4,2.9+0.75*((INDEX(Routes!$M$6:$M$9,$C84)*INDEX(Routes!$Y$6:$Y$9,$C84)*F84)-3),IF((INDEX(Routes!$M$6:$M$9,$C84)*INDEX(Routes!$Y$6:$Y$9,$C84)*F84)&lt;=5,3.65+0.6*((INDEX(Routes!$M$6:$M$9,$C84)*INDEX(Routes!$Y$6:$Y$9,$C84)*F84)-4),4.25+0.5*((INDEX(Routes!$M$6:$M$9,$C84)*INDEX(Routes!$Y$6:$Y$9,$C84)*F84)-5)))))</f>
        <v>0</v>
      </c>
    </row>
    <row r="85" customFormat="false" ht="15" hidden="false" customHeight="false" outlineLevel="0" collapsed="false">
      <c r="A85" s="2" t="s">
        <v>580</v>
      </c>
      <c r="B85" s="2" t="s">
        <v>564</v>
      </c>
      <c r="C85" s="16" t="n">
        <f aca="false">Sw_Route</f>
        <v>1</v>
      </c>
      <c r="D85" s="70" t="n">
        <v>120</v>
      </c>
      <c r="E85" s="88" t="n">
        <f aca="false">FreightMult</f>
        <v>1</v>
      </c>
      <c r="F85" s="88" t="n">
        <f aca="false">PortMult</f>
        <v>1</v>
      </c>
      <c r="G85" s="59" t="n">
        <v>0.85</v>
      </c>
      <c r="H85" s="89" t="n">
        <f aca="false">UtilBH</f>
        <v>0.5</v>
      </c>
      <c r="I85" s="90" t="n">
        <f aca="false">Speed</f>
        <v>13.5</v>
      </c>
      <c r="J85" s="88" t="n">
        <f aca="false">PortCostMult</f>
        <v>1</v>
      </c>
      <c r="K85" s="90" t="n">
        <f aca="false">EUA</f>
        <v>75</v>
      </c>
      <c r="L85" s="71" t="n">
        <f aca="false">INDEX(Routes!$E$6:$E$9,$C85)</f>
        <v>5000</v>
      </c>
      <c r="M85" s="72" t="n">
        <f aca="false">INDEX(Routes!$F$6:$F$9,$C85)/L85</f>
        <v>0.13</v>
      </c>
      <c r="N85" s="77" t="n">
        <f aca="false">2*L85*(1+SeaMargin)/(I85*24)</f>
        <v>32.4074074074074</v>
      </c>
      <c r="O85" s="84" t="n">
        <f aca="false">(I85/RefSpeed)^SpeedExp</f>
        <v>1</v>
      </c>
      <c r="P85" s="2" t="n">
        <f aca="false">IF(H85&gt;0,1,0)</f>
        <v>1</v>
      </c>
      <c r="Q85" s="71" t="n">
        <f aca="false">N85/2*O85*(ConsLaden+IF(P85=1,ConsLaden,ConsBallast))</f>
        <v>875</v>
      </c>
      <c r="R85" s="71" t="n">
        <f aca="false">Q85*(1-M85)</f>
        <v>761.25</v>
      </c>
      <c r="S85" s="71" t="n">
        <f aca="false">Q85*M85</f>
        <v>113.75</v>
      </c>
      <c r="T85" s="2" t="n">
        <f aca="false">1+P85</f>
        <v>2</v>
      </c>
      <c r="U85" s="77" t="n">
        <f aca="false">INDEX(Routes!$L$6:$L$9,$C85)*T85*F85</f>
        <v>10</v>
      </c>
      <c r="V85" s="77" t="n">
        <f aca="false">INDEX(Routes!$M$6:$M$9,$C85)*T85*F85</f>
        <v>7</v>
      </c>
      <c r="W85" s="77" t="n">
        <f aca="false">INDEX(Routes!$H$6:$H$9,$C85)*2</f>
        <v>0</v>
      </c>
      <c r="X85" s="71" t="n">
        <f aca="false">(U85+V85+W85)*ConsPort</f>
        <v>102</v>
      </c>
      <c r="Y85" s="67" t="n">
        <f aca="false">R85*D85*VLSFO_Mult+(S85+X85)*D85*MGO_Mult</f>
        <v>954528</v>
      </c>
      <c r="Z85" s="67" t="n">
        <f aca="false">(INDEX(Routes!$N$6:$N$9,$C85)+AN85+MIN(AC85*INDEX(Routes!$T$6:$T$9,$C85),INDEX(Routes!$V$6:$V$9,$C85))+INDEX(Routes!$O$6:$O$9,$C85)+AO85+MIN(AC85*INDEX(Routes!$U$6:$U$9,$C85),INDEX(Routes!$W$6:$W$9,$C85))+IF(P85=1,INDEX(Routes!$N$6:$N$9,$C85)+AN85+MIN(AD85*INDEX(Routes!$T$6:$T$9,$C85),INDEX(Routes!$V$6:$V$9,$C85))+INDEX(Routes!$O$6:$O$9,$C85)+AO85+MIN(AD85*INDEX(Routes!$U$6:$U$9,$C85),INDEX(Routes!$W$6:$W$9,$C85)),0))*J85</f>
        <v>252304.2096</v>
      </c>
      <c r="AA85" s="67" t="n">
        <f aca="false">INDEX(Routes!$R$6:$R$9,$C85)+IF(P85=1,INDEX(Routes!$R$6:$R$9,$C85),INDEX(Routes!$S$6:$S$9,$C85))</f>
        <v>0</v>
      </c>
      <c r="AB85" s="67" t="n">
        <f aca="false">((R85*CO2_VLSFO+S85*CO2_MGO)*INDEX(Routes!$I$6:$I$9,$C85)+(U85*INDEX(Routes!$P$6:$P$9,$C85)+V85*INDEX(Routes!$Q$6:$Q$9,$C85))*ConsPort*CO2_MGO)*PhaseIn*K85*FX</f>
        <v>123936.40875</v>
      </c>
      <c r="AC85" s="71" t="n">
        <f aca="false">Capacity*G85</f>
        <v>30600</v>
      </c>
      <c r="AD85" s="71" t="n">
        <f aca="false">Capacity*H85</f>
        <v>18000</v>
      </c>
      <c r="AE85" s="82" t="n">
        <f aca="false">INDEX(Routes!$J$6:$J$9,$C85)*E85</f>
        <v>52</v>
      </c>
      <c r="AF85" s="82" t="n">
        <f aca="false">INDEX(Routes!$K$6:$K$9,$C85)*E85</f>
        <v>38</v>
      </c>
      <c r="AG85" s="67" t="n">
        <f aca="false">AC85*AE85+AD85*AF85</f>
        <v>2275200</v>
      </c>
      <c r="AH85" s="67" t="n">
        <f aca="false">AG85*Commission</f>
        <v>56880</v>
      </c>
      <c r="AI85" s="67" t="n">
        <f aca="false">Y85+Z85+AA85+AB85+MiscVoy</f>
        <v>1355768.61835</v>
      </c>
      <c r="AJ85" s="77" t="n">
        <f aca="false">N85+U85+V85+W85</f>
        <v>49.4074074074074</v>
      </c>
      <c r="AK85" s="94" t="n">
        <f aca="false">(AG85-AH85-AI85)/AJ85</f>
        <v>17457.9365101574</v>
      </c>
      <c r="AL85" s="67" t="n">
        <f aca="false">AG85-AH85-AI85-Benchmark*AJ85</f>
        <v>-26781.9516833331</v>
      </c>
      <c r="AM85" s="82" t="n">
        <f aca="false">IF(AC85&gt;0,((Benchmark*AJ85+AI85)/(1-Commission)-AD85*AF85)/AC85,0)</f>
        <v>52.8976689017373</v>
      </c>
      <c r="AN85" s="67" t="n">
        <f aca="false">LOA_ft*Port_Tariffs!$C$9*IF((INDEX(Routes!$L$6:$L$9,$C85)*INDEX(Routes!$X$6:$X$9,$C85)*F85)&lt;=2,(INDEX(Routes!$L$6:$L$9,$C85)*INDEX(Routes!$X$6:$X$9,$C85)*F85),IF((INDEX(Routes!$L$6:$L$9,$C85)*INDEX(Routes!$X$6:$X$9,$C85)*F85)&lt;=3,2+0.9*((INDEX(Routes!$L$6:$L$9,$C85)*INDEX(Routes!$X$6:$X$9,$C85)*F85)-2),IF((INDEX(Routes!$L$6:$L$9,$C85)*INDEX(Routes!$X$6:$X$9,$C85)*F85)&lt;=4,2.9+0.75*((INDEX(Routes!$L$6:$L$9,$C85)*INDEX(Routes!$X$6:$X$9,$C85)*F85)-3),IF((INDEX(Routes!$L$6:$L$9,$C85)*INDEX(Routes!$X$6:$X$9,$C85)*F85)&lt;=5,3.65+0.6*((INDEX(Routes!$L$6:$L$9,$C85)*INDEX(Routes!$X$6:$X$9,$C85)*F85)-4),4.25+0.5*((INDEX(Routes!$L$6:$L$9,$C85)*INDEX(Routes!$X$6:$X$9,$C85)*F85)-5)))))</f>
        <v>19557.6</v>
      </c>
      <c r="AO85" s="67" t="n">
        <f aca="false">LOA_ft*Port_Tariffs!$C$9*IF((INDEX(Routes!$M$6:$M$9,$C85)*INDEX(Routes!$Y$6:$Y$9,$C85)*F85)&lt;=2,(INDEX(Routes!$M$6:$M$9,$C85)*INDEX(Routes!$Y$6:$Y$9,$C85)*F85),IF((INDEX(Routes!$M$6:$M$9,$C85)*INDEX(Routes!$Y$6:$Y$9,$C85)*F85)&lt;=3,2+0.9*((INDEX(Routes!$M$6:$M$9,$C85)*INDEX(Routes!$Y$6:$Y$9,$C85)*F85)-2),IF((INDEX(Routes!$M$6:$M$9,$C85)*INDEX(Routes!$Y$6:$Y$9,$C85)*F85)&lt;=4,2.9+0.75*((INDEX(Routes!$M$6:$M$9,$C85)*INDEX(Routes!$Y$6:$Y$9,$C85)*F85)-3),IF((INDEX(Routes!$M$6:$M$9,$C85)*INDEX(Routes!$Y$6:$Y$9,$C85)*F85)&lt;=5,3.65+0.6*((INDEX(Routes!$M$6:$M$9,$C85)*INDEX(Routes!$Y$6:$Y$9,$C85)*F85)-4),4.25+0.5*((INDEX(Routes!$M$6:$M$9,$C85)*INDEX(Routes!$Y$6:$Y$9,$C85)*F85)-5)))))</f>
        <v>0</v>
      </c>
    </row>
    <row r="86" customFormat="false" ht="15" hidden="false" customHeight="false" outlineLevel="0" collapsed="false">
      <c r="A86" s="2" t="s">
        <v>581</v>
      </c>
      <c r="B86" s="2" t="s">
        <v>564</v>
      </c>
      <c r="C86" s="16" t="n">
        <f aca="false">Sw_Route</f>
        <v>1</v>
      </c>
      <c r="D86" s="70" t="n">
        <v>130</v>
      </c>
      <c r="E86" s="88" t="n">
        <f aca="false">FreightMult</f>
        <v>1</v>
      </c>
      <c r="F86" s="88" t="n">
        <f aca="false">PortMult</f>
        <v>1</v>
      </c>
      <c r="G86" s="59" t="n">
        <v>0.85</v>
      </c>
      <c r="H86" s="89" t="n">
        <f aca="false">UtilBH</f>
        <v>0.5</v>
      </c>
      <c r="I86" s="90" t="n">
        <f aca="false">Speed</f>
        <v>13.5</v>
      </c>
      <c r="J86" s="88" t="n">
        <f aca="false">PortCostMult</f>
        <v>1</v>
      </c>
      <c r="K86" s="90" t="n">
        <f aca="false">EUA</f>
        <v>75</v>
      </c>
      <c r="L86" s="71" t="n">
        <f aca="false">INDEX(Routes!$E$6:$E$9,$C86)</f>
        <v>5000</v>
      </c>
      <c r="M86" s="72" t="n">
        <f aca="false">INDEX(Routes!$F$6:$F$9,$C86)/L86</f>
        <v>0.13</v>
      </c>
      <c r="N86" s="77" t="n">
        <f aca="false">2*L86*(1+SeaMargin)/(I86*24)</f>
        <v>32.4074074074074</v>
      </c>
      <c r="O86" s="84" t="n">
        <f aca="false">(I86/RefSpeed)^SpeedExp</f>
        <v>1</v>
      </c>
      <c r="P86" s="2" t="n">
        <f aca="false">IF(H86&gt;0,1,0)</f>
        <v>1</v>
      </c>
      <c r="Q86" s="71" t="n">
        <f aca="false">N86/2*O86*(ConsLaden+IF(P86=1,ConsLaden,ConsBallast))</f>
        <v>875</v>
      </c>
      <c r="R86" s="71" t="n">
        <f aca="false">Q86*(1-M86)</f>
        <v>761.25</v>
      </c>
      <c r="S86" s="71" t="n">
        <f aca="false">Q86*M86</f>
        <v>113.75</v>
      </c>
      <c r="T86" s="2" t="n">
        <f aca="false">1+P86</f>
        <v>2</v>
      </c>
      <c r="U86" s="77" t="n">
        <f aca="false">INDEX(Routes!$L$6:$L$9,$C86)*T86*F86</f>
        <v>10</v>
      </c>
      <c r="V86" s="77" t="n">
        <f aca="false">INDEX(Routes!$M$6:$M$9,$C86)*T86*F86</f>
        <v>7</v>
      </c>
      <c r="W86" s="77" t="n">
        <f aca="false">INDEX(Routes!$H$6:$H$9,$C86)*2</f>
        <v>0</v>
      </c>
      <c r="X86" s="71" t="n">
        <f aca="false">(U86+V86+W86)*ConsPort</f>
        <v>102</v>
      </c>
      <c r="Y86" s="67" t="n">
        <f aca="false">R86*D86*VLSFO_Mult+(S86+X86)*D86*MGO_Mult</f>
        <v>1034072</v>
      </c>
      <c r="Z86" s="67" t="n">
        <f aca="false">(INDEX(Routes!$N$6:$N$9,$C86)+AN86+MIN(AC86*INDEX(Routes!$T$6:$T$9,$C86),INDEX(Routes!$V$6:$V$9,$C86))+INDEX(Routes!$O$6:$O$9,$C86)+AO86+MIN(AC86*INDEX(Routes!$U$6:$U$9,$C86),INDEX(Routes!$W$6:$W$9,$C86))+IF(P86=1,INDEX(Routes!$N$6:$N$9,$C86)+AN86+MIN(AD86*INDEX(Routes!$T$6:$T$9,$C86),INDEX(Routes!$V$6:$V$9,$C86))+INDEX(Routes!$O$6:$O$9,$C86)+AO86+MIN(AD86*INDEX(Routes!$U$6:$U$9,$C86),INDEX(Routes!$W$6:$W$9,$C86)),0))*J86</f>
        <v>252304.2096</v>
      </c>
      <c r="AA86" s="67" t="n">
        <f aca="false">INDEX(Routes!$R$6:$R$9,$C86)+IF(P86=1,INDEX(Routes!$R$6:$R$9,$C86),INDEX(Routes!$S$6:$S$9,$C86))</f>
        <v>0</v>
      </c>
      <c r="AB86" s="67" t="n">
        <f aca="false">((R86*CO2_VLSFO+S86*CO2_MGO)*INDEX(Routes!$I$6:$I$9,$C86)+(U86*INDEX(Routes!$P$6:$P$9,$C86)+V86*INDEX(Routes!$Q$6:$Q$9,$C86))*ConsPort*CO2_MGO)*PhaseIn*K86*FX</f>
        <v>123936.40875</v>
      </c>
      <c r="AC86" s="71" t="n">
        <f aca="false">Capacity*G86</f>
        <v>30600</v>
      </c>
      <c r="AD86" s="71" t="n">
        <f aca="false">Capacity*H86</f>
        <v>18000</v>
      </c>
      <c r="AE86" s="82" t="n">
        <f aca="false">INDEX(Routes!$J$6:$J$9,$C86)*E86</f>
        <v>52</v>
      </c>
      <c r="AF86" s="82" t="n">
        <f aca="false">INDEX(Routes!$K$6:$K$9,$C86)*E86</f>
        <v>38</v>
      </c>
      <c r="AG86" s="67" t="n">
        <f aca="false">AC86*AE86+AD86*AF86</f>
        <v>2275200</v>
      </c>
      <c r="AH86" s="67" t="n">
        <f aca="false">AG86*Commission</f>
        <v>56880</v>
      </c>
      <c r="AI86" s="67" t="n">
        <f aca="false">Y86+Z86+AA86+AB86+MiscVoy</f>
        <v>1435312.61835</v>
      </c>
      <c r="AJ86" s="77" t="n">
        <f aca="false">N86+U86+V86+W86</f>
        <v>49.4074074074074</v>
      </c>
      <c r="AK86" s="94" t="n">
        <f aca="false">(AG86-AH86-AI86)/AJ86</f>
        <v>15847.9754906672</v>
      </c>
      <c r="AL86" s="67" t="n">
        <f aca="false">AG86-AH86-AI86-Benchmark*AJ86</f>
        <v>-106325.951683333</v>
      </c>
      <c r="AM86" s="82" t="n">
        <f aca="false">IF(AC86&gt;0,((Benchmark*AJ86+AI86)/(1-Commission)-AD86*AF86)/AC86,0)</f>
        <v>55.5637992855148</v>
      </c>
      <c r="AN86" s="67" t="n">
        <f aca="false">LOA_ft*Port_Tariffs!$C$9*IF((INDEX(Routes!$L$6:$L$9,$C86)*INDEX(Routes!$X$6:$X$9,$C86)*F86)&lt;=2,(INDEX(Routes!$L$6:$L$9,$C86)*INDEX(Routes!$X$6:$X$9,$C86)*F86),IF((INDEX(Routes!$L$6:$L$9,$C86)*INDEX(Routes!$X$6:$X$9,$C86)*F86)&lt;=3,2+0.9*((INDEX(Routes!$L$6:$L$9,$C86)*INDEX(Routes!$X$6:$X$9,$C86)*F86)-2),IF((INDEX(Routes!$L$6:$L$9,$C86)*INDEX(Routes!$X$6:$X$9,$C86)*F86)&lt;=4,2.9+0.75*((INDEX(Routes!$L$6:$L$9,$C86)*INDEX(Routes!$X$6:$X$9,$C86)*F86)-3),IF((INDEX(Routes!$L$6:$L$9,$C86)*INDEX(Routes!$X$6:$X$9,$C86)*F86)&lt;=5,3.65+0.6*((INDEX(Routes!$L$6:$L$9,$C86)*INDEX(Routes!$X$6:$X$9,$C86)*F86)-4),4.25+0.5*((INDEX(Routes!$L$6:$L$9,$C86)*INDEX(Routes!$X$6:$X$9,$C86)*F86)-5)))))</f>
        <v>19557.6</v>
      </c>
      <c r="AO86" s="67" t="n">
        <f aca="false">LOA_ft*Port_Tariffs!$C$9*IF((INDEX(Routes!$M$6:$M$9,$C86)*INDEX(Routes!$Y$6:$Y$9,$C86)*F86)&lt;=2,(INDEX(Routes!$M$6:$M$9,$C86)*INDEX(Routes!$Y$6:$Y$9,$C86)*F86),IF((INDEX(Routes!$M$6:$M$9,$C86)*INDEX(Routes!$Y$6:$Y$9,$C86)*F86)&lt;=3,2+0.9*((INDEX(Routes!$M$6:$M$9,$C86)*INDEX(Routes!$Y$6:$Y$9,$C86)*F86)-2),IF((INDEX(Routes!$M$6:$M$9,$C86)*INDEX(Routes!$Y$6:$Y$9,$C86)*F86)&lt;=4,2.9+0.75*((INDEX(Routes!$M$6:$M$9,$C86)*INDEX(Routes!$Y$6:$Y$9,$C86)*F86)-3),IF((INDEX(Routes!$M$6:$M$9,$C86)*INDEX(Routes!$Y$6:$Y$9,$C86)*F86)&lt;=5,3.65+0.6*((INDEX(Routes!$M$6:$M$9,$C86)*INDEX(Routes!$Y$6:$Y$9,$C86)*F86)-4),4.25+0.5*((INDEX(Routes!$M$6:$M$9,$C86)*INDEX(Routes!$Y$6:$Y$9,$C86)*F86)-5)))))</f>
        <v>0</v>
      </c>
    </row>
    <row r="87" customFormat="false" ht="15" hidden="false" customHeight="false" outlineLevel="0" collapsed="false">
      <c r="A87" s="2" t="s">
        <v>582</v>
      </c>
      <c r="B87" s="2" t="s">
        <v>564</v>
      </c>
      <c r="C87" s="16" t="n">
        <f aca="false">Sw_Route</f>
        <v>1</v>
      </c>
      <c r="D87" s="70" t="n">
        <v>50</v>
      </c>
      <c r="E87" s="88" t="n">
        <f aca="false">FreightMult</f>
        <v>1</v>
      </c>
      <c r="F87" s="88" t="n">
        <f aca="false">PortMult</f>
        <v>1</v>
      </c>
      <c r="G87" s="59" t="n">
        <v>0.95</v>
      </c>
      <c r="H87" s="89" t="n">
        <f aca="false">UtilBH</f>
        <v>0.5</v>
      </c>
      <c r="I87" s="90" t="n">
        <f aca="false">Speed</f>
        <v>13.5</v>
      </c>
      <c r="J87" s="88" t="n">
        <f aca="false">PortCostMult</f>
        <v>1</v>
      </c>
      <c r="K87" s="90" t="n">
        <f aca="false">EUA</f>
        <v>75</v>
      </c>
      <c r="L87" s="71" t="n">
        <f aca="false">INDEX(Routes!$E$6:$E$9,$C87)</f>
        <v>5000</v>
      </c>
      <c r="M87" s="72" t="n">
        <f aca="false">INDEX(Routes!$F$6:$F$9,$C87)/L87</f>
        <v>0.13</v>
      </c>
      <c r="N87" s="77" t="n">
        <f aca="false">2*L87*(1+SeaMargin)/(I87*24)</f>
        <v>32.4074074074074</v>
      </c>
      <c r="O87" s="84" t="n">
        <f aca="false">(I87/RefSpeed)^SpeedExp</f>
        <v>1</v>
      </c>
      <c r="P87" s="2" t="n">
        <f aca="false">IF(H87&gt;0,1,0)</f>
        <v>1</v>
      </c>
      <c r="Q87" s="71" t="n">
        <f aca="false">N87/2*O87*(ConsLaden+IF(P87=1,ConsLaden,ConsBallast))</f>
        <v>875</v>
      </c>
      <c r="R87" s="71" t="n">
        <f aca="false">Q87*(1-M87)</f>
        <v>761.25</v>
      </c>
      <c r="S87" s="71" t="n">
        <f aca="false">Q87*M87</f>
        <v>113.75</v>
      </c>
      <c r="T87" s="2" t="n">
        <f aca="false">1+P87</f>
        <v>2</v>
      </c>
      <c r="U87" s="77" t="n">
        <f aca="false">INDEX(Routes!$L$6:$L$9,$C87)*T87*F87</f>
        <v>10</v>
      </c>
      <c r="V87" s="77" t="n">
        <f aca="false">INDEX(Routes!$M$6:$M$9,$C87)*T87*F87</f>
        <v>7</v>
      </c>
      <c r="W87" s="77" t="n">
        <f aca="false">INDEX(Routes!$H$6:$H$9,$C87)*2</f>
        <v>0</v>
      </c>
      <c r="X87" s="71" t="n">
        <f aca="false">(U87+V87+W87)*ConsPort</f>
        <v>102</v>
      </c>
      <c r="Y87" s="67" t="n">
        <f aca="false">R87*D87*VLSFO_Mult+(S87+X87)*D87*MGO_Mult</f>
        <v>397720</v>
      </c>
      <c r="Z87" s="67" t="n">
        <f aca="false">(INDEX(Routes!$N$6:$N$9,$C87)+AN87+MIN(AC87*INDEX(Routes!$T$6:$T$9,$C87),INDEX(Routes!$V$6:$V$9,$C87))+INDEX(Routes!$O$6:$O$9,$C87)+AO87+MIN(AC87*INDEX(Routes!$U$6:$U$9,$C87),INDEX(Routes!$W$6:$W$9,$C87))+IF(P87=1,INDEX(Routes!$N$6:$N$9,$C87)+AN87+MIN(AD87*INDEX(Routes!$T$6:$T$9,$C87),INDEX(Routes!$V$6:$V$9,$C87))+INDEX(Routes!$O$6:$O$9,$C87)+AO87+MIN(AD87*INDEX(Routes!$U$6:$U$9,$C87),INDEX(Routes!$W$6:$W$9,$C87)),0))*J87</f>
        <v>252779.975088</v>
      </c>
      <c r="AA87" s="67" t="n">
        <f aca="false">INDEX(Routes!$R$6:$R$9,$C87)+IF(P87=1,INDEX(Routes!$R$6:$R$9,$C87),INDEX(Routes!$S$6:$S$9,$C87))</f>
        <v>0</v>
      </c>
      <c r="AB87" s="67" t="n">
        <f aca="false">((R87*CO2_VLSFO+S87*CO2_MGO)*INDEX(Routes!$I$6:$I$9,$C87)+(U87*INDEX(Routes!$P$6:$P$9,$C87)+V87*INDEX(Routes!$Q$6:$Q$9,$C87))*ConsPort*CO2_MGO)*PhaseIn*K87*FX</f>
        <v>123936.40875</v>
      </c>
      <c r="AC87" s="71" t="n">
        <f aca="false">Capacity*G87</f>
        <v>34200</v>
      </c>
      <c r="AD87" s="71" t="n">
        <f aca="false">Capacity*H87</f>
        <v>18000</v>
      </c>
      <c r="AE87" s="82" t="n">
        <f aca="false">INDEX(Routes!$J$6:$J$9,$C87)*E87</f>
        <v>52</v>
      </c>
      <c r="AF87" s="82" t="n">
        <f aca="false">INDEX(Routes!$K$6:$K$9,$C87)*E87</f>
        <v>38</v>
      </c>
      <c r="AG87" s="67" t="n">
        <f aca="false">AC87*AE87+AD87*AF87</f>
        <v>2462400</v>
      </c>
      <c r="AH87" s="67" t="n">
        <f aca="false">AG87*Commission</f>
        <v>61560</v>
      </c>
      <c r="AI87" s="67" t="n">
        <f aca="false">Y87+Z87+AA87+AB87+MiscVoy</f>
        <v>799436.383838</v>
      </c>
      <c r="AJ87" s="77" t="n">
        <f aca="false">N87+U87+V87+W87</f>
        <v>49.4074074074074</v>
      </c>
      <c r="AK87" s="94" t="n">
        <f aca="false">(AG87-AH87-AI87)/AJ87</f>
        <v>32412.2171187211</v>
      </c>
      <c r="AL87" s="67" t="n">
        <f aca="false">AG87-AH87-AI87-Benchmark*AJ87</f>
        <v>712070.282828667</v>
      </c>
      <c r="AM87" s="82" t="n">
        <f aca="false">IF(AC87&gt;0,((Benchmark*AJ87+AI87)/(1-Commission)-AD87*AF87)/AC87,0)</f>
        <v>30.645365637167</v>
      </c>
      <c r="AN87" s="67" t="n">
        <f aca="false">LOA_ft*Port_Tariffs!$C$9*IF((INDEX(Routes!$L$6:$L$9,$C87)*INDEX(Routes!$X$6:$X$9,$C87)*F87)&lt;=2,(INDEX(Routes!$L$6:$L$9,$C87)*INDEX(Routes!$X$6:$X$9,$C87)*F87),IF((INDEX(Routes!$L$6:$L$9,$C87)*INDEX(Routes!$X$6:$X$9,$C87)*F87)&lt;=3,2+0.9*((INDEX(Routes!$L$6:$L$9,$C87)*INDEX(Routes!$X$6:$X$9,$C87)*F87)-2),IF((INDEX(Routes!$L$6:$L$9,$C87)*INDEX(Routes!$X$6:$X$9,$C87)*F87)&lt;=4,2.9+0.75*((INDEX(Routes!$L$6:$L$9,$C87)*INDEX(Routes!$X$6:$X$9,$C87)*F87)-3),IF((INDEX(Routes!$L$6:$L$9,$C87)*INDEX(Routes!$X$6:$X$9,$C87)*F87)&lt;=5,3.65+0.6*((INDEX(Routes!$L$6:$L$9,$C87)*INDEX(Routes!$X$6:$X$9,$C87)*F87)-4),4.25+0.5*((INDEX(Routes!$L$6:$L$9,$C87)*INDEX(Routes!$X$6:$X$9,$C87)*F87)-5)))))</f>
        <v>19557.6</v>
      </c>
      <c r="AO87" s="67" t="n">
        <f aca="false">LOA_ft*Port_Tariffs!$C$9*IF((INDEX(Routes!$M$6:$M$9,$C87)*INDEX(Routes!$Y$6:$Y$9,$C87)*F87)&lt;=2,(INDEX(Routes!$M$6:$M$9,$C87)*INDEX(Routes!$Y$6:$Y$9,$C87)*F87),IF((INDEX(Routes!$M$6:$M$9,$C87)*INDEX(Routes!$Y$6:$Y$9,$C87)*F87)&lt;=3,2+0.9*((INDEX(Routes!$M$6:$M$9,$C87)*INDEX(Routes!$Y$6:$Y$9,$C87)*F87)-2),IF((INDEX(Routes!$M$6:$M$9,$C87)*INDEX(Routes!$Y$6:$Y$9,$C87)*F87)&lt;=4,2.9+0.75*((INDEX(Routes!$M$6:$M$9,$C87)*INDEX(Routes!$Y$6:$Y$9,$C87)*F87)-3),IF((INDEX(Routes!$M$6:$M$9,$C87)*INDEX(Routes!$Y$6:$Y$9,$C87)*F87)&lt;=5,3.65+0.6*((INDEX(Routes!$M$6:$M$9,$C87)*INDEX(Routes!$Y$6:$Y$9,$C87)*F87)-4),4.25+0.5*((INDEX(Routes!$M$6:$M$9,$C87)*INDEX(Routes!$Y$6:$Y$9,$C87)*F87)-5)))))</f>
        <v>0</v>
      </c>
    </row>
    <row r="88" customFormat="false" ht="15" hidden="false" customHeight="false" outlineLevel="0" collapsed="false">
      <c r="A88" s="2" t="s">
        <v>583</v>
      </c>
      <c r="B88" s="2" t="s">
        <v>564</v>
      </c>
      <c r="C88" s="16" t="n">
        <f aca="false">Sw_Route</f>
        <v>1</v>
      </c>
      <c r="D88" s="70" t="n">
        <v>60</v>
      </c>
      <c r="E88" s="88" t="n">
        <f aca="false">FreightMult</f>
        <v>1</v>
      </c>
      <c r="F88" s="88" t="n">
        <f aca="false">PortMult</f>
        <v>1</v>
      </c>
      <c r="G88" s="59" t="n">
        <v>0.95</v>
      </c>
      <c r="H88" s="89" t="n">
        <f aca="false">UtilBH</f>
        <v>0.5</v>
      </c>
      <c r="I88" s="90" t="n">
        <f aca="false">Speed</f>
        <v>13.5</v>
      </c>
      <c r="J88" s="88" t="n">
        <f aca="false">PortCostMult</f>
        <v>1</v>
      </c>
      <c r="K88" s="90" t="n">
        <f aca="false">EUA</f>
        <v>75</v>
      </c>
      <c r="L88" s="71" t="n">
        <f aca="false">INDEX(Routes!$E$6:$E$9,$C88)</f>
        <v>5000</v>
      </c>
      <c r="M88" s="72" t="n">
        <f aca="false">INDEX(Routes!$F$6:$F$9,$C88)/L88</f>
        <v>0.13</v>
      </c>
      <c r="N88" s="77" t="n">
        <f aca="false">2*L88*(1+SeaMargin)/(I88*24)</f>
        <v>32.4074074074074</v>
      </c>
      <c r="O88" s="84" t="n">
        <f aca="false">(I88/RefSpeed)^SpeedExp</f>
        <v>1</v>
      </c>
      <c r="P88" s="2" t="n">
        <f aca="false">IF(H88&gt;0,1,0)</f>
        <v>1</v>
      </c>
      <c r="Q88" s="71" t="n">
        <f aca="false">N88/2*O88*(ConsLaden+IF(P88=1,ConsLaden,ConsBallast))</f>
        <v>875</v>
      </c>
      <c r="R88" s="71" t="n">
        <f aca="false">Q88*(1-M88)</f>
        <v>761.25</v>
      </c>
      <c r="S88" s="71" t="n">
        <f aca="false">Q88*M88</f>
        <v>113.75</v>
      </c>
      <c r="T88" s="2" t="n">
        <f aca="false">1+P88</f>
        <v>2</v>
      </c>
      <c r="U88" s="77" t="n">
        <f aca="false">INDEX(Routes!$L$6:$L$9,$C88)*T88*F88</f>
        <v>10</v>
      </c>
      <c r="V88" s="77" t="n">
        <f aca="false">INDEX(Routes!$M$6:$M$9,$C88)*T88*F88</f>
        <v>7</v>
      </c>
      <c r="W88" s="77" t="n">
        <f aca="false">INDEX(Routes!$H$6:$H$9,$C88)*2</f>
        <v>0</v>
      </c>
      <c r="X88" s="71" t="n">
        <f aca="false">(U88+V88+W88)*ConsPort</f>
        <v>102</v>
      </c>
      <c r="Y88" s="67" t="n">
        <f aca="false">R88*D88*VLSFO_Mult+(S88+X88)*D88*MGO_Mult</f>
        <v>477264</v>
      </c>
      <c r="Z88" s="67" t="n">
        <f aca="false">(INDEX(Routes!$N$6:$N$9,$C88)+AN88+MIN(AC88*INDEX(Routes!$T$6:$T$9,$C88),INDEX(Routes!$V$6:$V$9,$C88))+INDEX(Routes!$O$6:$O$9,$C88)+AO88+MIN(AC88*INDEX(Routes!$U$6:$U$9,$C88),INDEX(Routes!$W$6:$W$9,$C88))+IF(P88=1,INDEX(Routes!$N$6:$N$9,$C88)+AN88+MIN(AD88*INDEX(Routes!$T$6:$T$9,$C88),INDEX(Routes!$V$6:$V$9,$C88))+INDEX(Routes!$O$6:$O$9,$C88)+AO88+MIN(AD88*INDEX(Routes!$U$6:$U$9,$C88),INDEX(Routes!$W$6:$W$9,$C88)),0))*J88</f>
        <v>252779.975088</v>
      </c>
      <c r="AA88" s="67" t="n">
        <f aca="false">INDEX(Routes!$R$6:$R$9,$C88)+IF(P88=1,INDEX(Routes!$R$6:$R$9,$C88),INDEX(Routes!$S$6:$S$9,$C88))</f>
        <v>0</v>
      </c>
      <c r="AB88" s="67" t="n">
        <f aca="false">((R88*CO2_VLSFO+S88*CO2_MGO)*INDEX(Routes!$I$6:$I$9,$C88)+(U88*INDEX(Routes!$P$6:$P$9,$C88)+V88*INDEX(Routes!$Q$6:$Q$9,$C88))*ConsPort*CO2_MGO)*PhaseIn*K88*FX</f>
        <v>123936.40875</v>
      </c>
      <c r="AC88" s="71" t="n">
        <f aca="false">Capacity*G88</f>
        <v>34200</v>
      </c>
      <c r="AD88" s="71" t="n">
        <f aca="false">Capacity*H88</f>
        <v>18000</v>
      </c>
      <c r="AE88" s="82" t="n">
        <f aca="false">INDEX(Routes!$J$6:$J$9,$C88)*E88</f>
        <v>52</v>
      </c>
      <c r="AF88" s="82" t="n">
        <f aca="false">INDEX(Routes!$K$6:$K$9,$C88)*E88</f>
        <v>38</v>
      </c>
      <c r="AG88" s="67" t="n">
        <f aca="false">AC88*AE88+AD88*AF88</f>
        <v>2462400</v>
      </c>
      <c r="AH88" s="67" t="n">
        <f aca="false">AG88*Commission</f>
        <v>61560</v>
      </c>
      <c r="AI88" s="67" t="n">
        <f aca="false">Y88+Z88+AA88+AB88+MiscVoy</f>
        <v>878980.383838</v>
      </c>
      <c r="AJ88" s="77" t="n">
        <f aca="false">N88+U88+V88+W88</f>
        <v>49.4074074074074</v>
      </c>
      <c r="AK88" s="94" t="n">
        <f aca="false">(AG88-AH88-AI88)/AJ88</f>
        <v>30802.2560992309</v>
      </c>
      <c r="AL88" s="67" t="n">
        <f aca="false">AG88-AH88-AI88-Benchmark*AJ88</f>
        <v>632526.282828667</v>
      </c>
      <c r="AM88" s="82" t="n">
        <f aca="false">IF(AC88&gt;0,((Benchmark*AJ88+AI88)/(1-Commission)-AD88*AF88)/AC88,0)</f>
        <v>33.0308507173889</v>
      </c>
      <c r="AN88" s="67" t="n">
        <f aca="false">LOA_ft*Port_Tariffs!$C$9*IF((INDEX(Routes!$L$6:$L$9,$C88)*INDEX(Routes!$X$6:$X$9,$C88)*F88)&lt;=2,(INDEX(Routes!$L$6:$L$9,$C88)*INDEX(Routes!$X$6:$X$9,$C88)*F88),IF((INDEX(Routes!$L$6:$L$9,$C88)*INDEX(Routes!$X$6:$X$9,$C88)*F88)&lt;=3,2+0.9*((INDEX(Routes!$L$6:$L$9,$C88)*INDEX(Routes!$X$6:$X$9,$C88)*F88)-2),IF((INDEX(Routes!$L$6:$L$9,$C88)*INDEX(Routes!$X$6:$X$9,$C88)*F88)&lt;=4,2.9+0.75*((INDEX(Routes!$L$6:$L$9,$C88)*INDEX(Routes!$X$6:$X$9,$C88)*F88)-3),IF((INDEX(Routes!$L$6:$L$9,$C88)*INDEX(Routes!$X$6:$X$9,$C88)*F88)&lt;=5,3.65+0.6*((INDEX(Routes!$L$6:$L$9,$C88)*INDEX(Routes!$X$6:$X$9,$C88)*F88)-4),4.25+0.5*((INDEX(Routes!$L$6:$L$9,$C88)*INDEX(Routes!$X$6:$X$9,$C88)*F88)-5)))))</f>
        <v>19557.6</v>
      </c>
      <c r="AO88" s="67" t="n">
        <f aca="false">LOA_ft*Port_Tariffs!$C$9*IF((INDEX(Routes!$M$6:$M$9,$C88)*INDEX(Routes!$Y$6:$Y$9,$C88)*F88)&lt;=2,(INDEX(Routes!$M$6:$M$9,$C88)*INDEX(Routes!$Y$6:$Y$9,$C88)*F88),IF((INDEX(Routes!$M$6:$M$9,$C88)*INDEX(Routes!$Y$6:$Y$9,$C88)*F88)&lt;=3,2+0.9*((INDEX(Routes!$M$6:$M$9,$C88)*INDEX(Routes!$Y$6:$Y$9,$C88)*F88)-2),IF((INDEX(Routes!$M$6:$M$9,$C88)*INDEX(Routes!$Y$6:$Y$9,$C88)*F88)&lt;=4,2.9+0.75*((INDEX(Routes!$M$6:$M$9,$C88)*INDEX(Routes!$Y$6:$Y$9,$C88)*F88)-3),IF((INDEX(Routes!$M$6:$M$9,$C88)*INDEX(Routes!$Y$6:$Y$9,$C88)*F88)&lt;=5,3.65+0.6*((INDEX(Routes!$M$6:$M$9,$C88)*INDEX(Routes!$Y$6:$Y$9,$C88)*F88)-4),4.25+0.5*((INDEX(Routes!$M$6:$M$9,$C88)*INDEX(Routes!$Y$6:$Y$9,$C88)*F88)-5)))))</f>
        <v>0</v>
      </c>
    </row>
    <row r="89" customFormat="false" ht="15" hidden="false" customHeight="false" outlineLevel="0" collapsed="false">
      <c r="A89" s="2" t="s">
        <v>584</v>
      </c>
      <c r="B89" s="2" t="s">
        <v>564</v>
      </c>
      <c r="C89" s="16" t="n">
        <f aca="false">Sw_Route</f>
        <v>1</v>
      </c>
      <c r="D89" s="70" t="n">
        <v>70</v>
      </c>
      <c r="E89" s="88" t="n">
        <f aca="false">FreightMult</f>
        <v>1</v>
      </c>
      <c r="F89" s="88" t="n">
        <f aca="false">PortMult</f>
        <v>1</v>
      </c>
      <c r="G89" s="59" t="n">
        <v>0.95</v>
      </c>
      <c r="H89" s="89" t="n">
        <f aca="false">UtilBH</f>
        <v>0.5</v>
      </c>
      <c r="I89" s="90" t="n">
        <f aca="false">Speed</f>
        <v>13.5</v>
      </c>
      <c r="J89" s="88" t="n">
        <f aca="false">PortCostMult</f>
        <v>1</v>
      </c>
      <c r="K89" s="90" t="n">
        <f aca="false">EUA</f>
        <v>75</v>
      </c>
      <c r="L89" s="71" t="n">
        <f aca="false">INDEX(Routes!$E$6:$E$9,$C89)</f>
        <v>5000</v>
      </c>
      <c r="M89" s="72" t="n">
        <f aca="false">INDEX(Routes!$F$6:$F$9,$C89)/L89</f>
        <v>0.13</v>
      </c>
      <c r="N89" s="77" t="n">
        <f aca="false">2*L89*(1+SeaMargin)/(I89*24)</f>
        <v>32.4074074074074</v>
      </c>
      <c r="O89" s="84" t="n">
        <f aca="false">(I89/RefSpeed)^SpeedExp</f>
        <v>1</v>
      </c>
      <c r="P89" s="2" t="n">
        <f aca="false">IF(H89&gt;0,1,0)</f>
        <v>1</v>
      </c>
      <c r="Q89" s="71" t="n">
        <f aca="false">N89/2*O89*(ConsLaden+IF(P89=1,ConsLaden,ConsBallast))</f>
        <v>875</v>
      </c>
      <c r="R89" s="71" t="n">
        <f aca="false">Q89*(1-M89)</f>
        <v>761.25</v>
      </c>
      <c r="S89" s="71" t="n">
        <f aca="false">Q89*M89</f>
        <v>113.75</v>
      </c>
      <c r="T89" s="2" t="n">
        <f aca="false">1+P89</f>
        <v>2</v>
      </c>
      <c r="U89" s="77" t="n">
        <f aca="false">INDEX(Routes!$L$6:$L$9,$C89)*T89*F89</f>
        <v>10</v>
      </c>
      <c r="V89" s="77" t="n">
        <f aca="false">INDEX(Routes!$M$6:$M$9,$C89)*T89*F89</f>
        <v>7</v>
      </c>
      <c r="W89" s="77" t="n">
        <f aca="false">INDEX(Routes!$H$6:$H$9,$C89)*2</f>
        <v>0</v>
      </c>
      <c r="X89" s="71" t="n">
        <f aca="false">(U89+V89+W89)*ConsPort</f>
        <v>102</v>
      </c>
      <c r="Y89" s="67" t="n">
        <f aca="false">R89*D89*VLSFO_Mult+(S89+X89)*D89*MGO_Mult</f>
        <v>556808</v>
      </c>
      <c r="Z89" s="67" t="n">
        <f aca="false">(INDEX(Routes!$N$6:$N$9,$C89)+AN89+MIN(AC89*INDEX(Routes!$T$6:$T$9,$C89),INDEX(Routes!$V$6:$V$9,$C89))+INDEX(Routes!$O$6:$O$9,$C89)+AO89+MIN(AC89*INDEX(Routes!$U$6:$U$9,$C89),INDEX(Routes!$W$6:$W$9,$C89))+IF(P89=1,INDEX(Routes!$N$6:$N$9,$C89)+AN89+MIN(AD89*INDEX(Routes!$T$6:$T$9,$C89),INDEX(Routes!$V$6:$V$9,$C89))+INDEX(Routes!$O$6:$O$9,$C89)+AO89+MIN(AD89*INDEX(Routes!$U$6:$U$9,$C89),INDEX(Routes!$W$6:$W$9,$C89)),0))*J89</f>
        <v>252779.975088</v>
      </c>
      <c r="AA89" s="67" t="n">
        <f aca="false">INDEX(Routes!$R$6:$R$9,$C89)+IF(P89=1,INDEX(Routes!$R$6:$R$9,$C89),INDEX(Routes!$S$6:$S$9,$C89))</f>
        <v>0</v>
      </c>
      <c r="AB89" s="67" t="n">
        <f aca="false">((R89*CO2_VLSFO+S89*CO2_MGO)*INDEX(Routes!$I$6:$I$9,$C89)+(U89*INDEX(Routes!$P$6:$P$9,$C89)+V89*INDEX(Routes!$Q$6:$Q$9,$C89))*ConsPort*CO2_MGO)*PhaseIn*K89*FX</f>
        <v>123936.40875</v>
      </c>
      <c r="AC89" s="71" t="n">
        <f aca="false">Capacity*G89</f>
        <v>34200</v>
      </c>
      <c r="AD89" s="71" t="n">
        <f aca="false">Capacity*H89</f>
        <v>18000</v>
      </c>
      <c r="AE89" s="82" t="n">
        <f aca="false">INDEX(Routes!$J$6:$J$9,$C89)*E89</f>
        <v>52</v>
      </c>
      <c r="AF89" s="82" t="n">
        <f aca="false">INDEX(Routes!$K$6:$K$9,$C89)*E89</f>
        <v>38</v>
      </c>
      <c r="AG89" s="67" t="n">
        <f aca="false">AC89*AE89+AD89*AF89</f>
        <v>2462400</v>
      </c>
      <c r="AH89" s="67" t="n">
        <f aca="false">AG89*Commission</f>
        <v>61560</v>
      </c>
      <c r="AI89" s="67" t="n">
        <f aca="false">Y89+Z89+AA89+AB89+MiscVoy</f>
        <v>958524.383838</v>
      </c>
      <c r="AJ89" s="77" t="n">
        <f aca="false">N89+U89+V89+W89</f>
        <v>49.4074074074074</v>
      </c>
      <c r="AK89" s="94" t="n">
        <f aca="false">(AG89-AH89-AI89)/AJ89</f>
        <v>29192.2950797406</v>
      </c>
      <c r="AL89" s="67" t="n">
        <f aca="false">AG89-AH89-AI89-Benchmark*AJ89</f>
        <v>552982.282828667</v>
      </c>
      <c r="AM89" s="82" t="n">
        <f aca="false">IF(AC89&gt;0,((Benchmark*AJ89+AI89)/(1-Commission)-AD89*AF89)/AC89,0)</f>
        <v>35.4163357976108</v>
      </c>
      <c r="AN89" s="67" t="n">
        <f aca="false">LOA_ft*Port_Tariffs!$C$9*IF((INDEX(Routes!$L$6:$L$9,$C89)*INDEX(Routes!$X$6:$X$9,$C89)*F89)&lt;=2,(INDEX(Routes!$L$6:$L$9,$C89)*INDEX(Routes!$X$6:$X$9,$C89)*F89),IF((INDEX(Routes!$L$6:$L$9,$C89)*INDEX(Routes!$X$6:$X$9,$C89)*F89)&lt;=3,2+0.9*((INDEX(Routes!$L$6:$L$9,$C89)*INDEX(Routes!$X$6:$X$9,$C89)*F89)-2),IF((INDEX(Routes!$L$6:$L$9,$C89)*INDEX(Routes!$X$6:$X$9,$C89)*F89)&lt;=4,2.9+0.75*((INDEX(Routes!$L$6:$L$9,$C89)*INDEX(Routes!$X$6:$X$9,$C89)*F89)-3),IF((INDEX(Routes!$L$6:$L$9,$C89)*INDEX(Routes!$X$6:$X$9,$C89)*F89)&lt;=5,3.65+0.6*((INDEX(Routes!$L$6:$L$9,$C89)*INDEX(Routes!$X$6:$X$9,$C89)*F89)-4),4.25+0.5*((INDEX(Routes!$L$6:$L$9,$C89)*INDEX(Routes!$X$6:$X$9,$C89)*F89)-5)))))</f>
        <v>19557.6</v>
      </c>
      <c r="AO89" s="67" t="n">
        <f aca="false">LOA_ft*Port_Tariffs!$C$9*IF((INDEX(Routes!$M$6:$M$9,$C89)*INDEX(Routes!$Y$6:$Y$9,$C89)*F89)&lt;=2,(INDEX(Routes!$M$6:$M$9,$C89)*INDEX(Routes!$Y$6:$Y$9,$C89)*F89),IF((INDEX(Routes!$M$6:$M$9,$C89)*INDEX(Routes!$Y$6:$Y$9,$C89)*F89)&lt;=3,2+0.9*((INDEX(Routes!$M$6:$M$9,$C89)*INDEX(Routes!$Y$6:$Y$9,$C89)*F89)-2),IF((INDEX(Routes!$M$6:$M$9,$C89)*INDEX(Routes!$Y$6:$Y$9,$C89)*F89)&lt;=4,2.9+0.75*((INDEX(Routes!$M$6:$M$9,$C89)*INDEX(Routes!$Y$6:$Y$9,$C89)*F89)-3),IF((INDEX(Routes!$M$6:$M$9,$C89)*INDEX(Routes!$Y$6:$Y$9,$C89)*F89)&lt;=5,3.65+0.6*((INDEX(Routes!$M$6:$M$9,$C89)*INDEX(Routes!$Y$6:$Y$9,$C89)*F89)-4),4.25+0.5*((INDEX(Routes!$M$6:$M$9,$C89)*INDEX(Routes!$Y$6:$Y$9,$C89)*F89)-5)))))</f>
        <v>0</v>
      </c>
    </row>
    <row r="90" customFormat="false" ht="15" hidden="false" customHeight="false" outlineLevel="0" collapsed="false">
      <c r="A90" s="2" t="s">
        <v>585</v>
      </c>
      <c r="B90" s="2" t="s">
        <v>564</v>
      </c>
      <c r="C90" s="16" t="n">
        <f aca="false">Sw_Route</f>
        <v>1</v>
      </c>
      <c r="D90" s="70" t="n">
        <v>80</v>
      </c>
      <c r="E90" s="88" t="n">
        <f aca="false">FreightMult</f>
        <v>1</v>
      </c>
      <c r="F90" s="88" t="n">
        <f aca="false">PortMult</f>
        <v>1</v>
      </c>
      <c r="G90" s="59" t="n">
        <v>0.95</v>
      </c>
      <c r="H90" s="89" t="n">
        <f aca="false">UtilBH</f>
        <v>0.5</v>
      </c>
      <c r="I90" s="90" t="n">
        <f aca="false">Speed</f>
        <v>13.5</v>
      </c>
      <c r="J90" s="88" t="n">
        <f aca="false">PortCostMult</f>
        <v>1</v>
      </c>
      <c r="K90" s="90" t="n">
        <f aca="false">EUA</f>
        <v>75</v>
      </c>
      <c r="L90" s="71" t="n">
        <f aca="false">INDEX(Routes!$E$6:$E$9,$C90)</f>
        <v>5000</v>
      </c>
      <c r="M90" s="72" t="n">
        <f aca="false">INDEX(Routes!$F$6:$F$9,$C90)/L90</f>
        <v>0.13</v>
      </c>
      <c r="N90" s="77" t="n">
        <f aca="false">2*L90*(1+SeaMargin)/(I90*24)</f>
        <v>32.4074074074074</v>
      </c>
      <c r="O90" s="84" t="n">
        <f aca="false">(I90/RefSpeed)^SpeedExp</f>
        <v>1</v>
      </c>
      <c r="P90" s="2" t="n">
        <f aca="false">IF(H90&gt;0,1,0)</f>
        <v>1</v>
      </c>
      <c r="Q90" s="71" t="n">
        <f aca="false">N90/2*O90*(ConsLaden+IF(P90=1,ConsLaden,ConsBallast))</f>
        <v>875</v>
      </c>
      <c r="R90" s="71" t="n">
        <f aca="false">Q90*(1-M90)</f>
        <v>761.25</v>
      </c>
      <c r="S90" s="71" t="n">
        <f aca="false">Q90*M90</f>
        <v>113.75</v>
      </c>
      <c r="T90" s="2" t="n">
        <f aca="false">1+P90</f>
        <v>2</v>
      </c>
      <c r="U90" s="77" t="n">
        <f aca="false">INDEX(Routes!$L$6:$L$9,$C90)*T90*F90</f>
        <v>10</v>
      </c>
      <c r="V90" s="77" t="n">
        <f aca="false">INDEX(Routes!$M$6:$M$9,$C90)*T90*F90</f>
        <v>7</v>
      </c>
      <c r="W90" s="77" t="n">
        <f aca="false">INDEX(Routes!$H$6:$H$9,$C90)*2</f>
        <v>0</v>
      </c>
      <c r="X90" s="71" t="n">
        <f aca="false">(U90+V90+W90)*ConsPort</f>
        <v>102</v>
      </c>
      <c r="Y90" s="67" t="n">
        <f aca="false">R90*D90*VLSFO_Mult+(S90+X90)*D90*MGO_Mult</f>
        <v>636352</v>
      </c>
      <c r="Z90" s="67" t="n">
        <f aca="false">(INDEX(Routes!$N$6:$N$9,$C90)+AN90+MIN(AC90*INDEX(Routes!$T$6:$T$9,$C90),INDEX(Routes!$V$6:$V$9,$C90))+INDEX(Routes!$O$6:$O$9,$C90)+AO90+MIN(AC90*INDEX(Routes!$U$6:$U$9,$C90),INDEX(Routes!$W$6:$W$9,$C90))+IF(P90=1,INDEX(Routes!$N$6:$N$9,$C90)+AN90+MIN(AD90*INDEX(Routes!$T$6:$T$9,$C90),INDEX(Routes!$V$6:$V$9,$C90))+INDEX(Routes!$O$6:$O$9,$C90)+AO90+MIN(AD90*INDEX(Routes!$U$6:$U$9,$C90),INDEX(Routes!$W$6:$W$9,$C90)),0))*J90</f>
        <v>252779.975088</v>
      </c>
      <c r="AA90" s="67" t="n">
        <f aca="false">INDEX(Routes!$R$6:$R$9,$C90)+IF(P90=1,INDEX(Routes!$R$6:$R$9,$C90),INDEX(Routes!$S$6:$S$9,$C90))</f>
        <v>0</v>
      </c>
      <c r="AB90" s="67" t="n">
        <f aca="false">((R90*CO2_VLSFO+S90*CO2_MGO)*INDEX(Routes!$I$6:$I$9,$C90)+(U90*INDEX(Routes!$P$6:$P$9,$C90)+V90*INDEX(Routes!$Q$6:$Q$9,$C90))*ConsPort*CO2_MGO)*PhaseIn*K90*FX</f>
        <v>123936.40875</v>
      </c>
      <c r="AC90" s="71" t="n">
        <f aca="false">Capacity*G90</f>
        <v>34200</v>
      </c>
      <c r="AD90" s="71" t="n">
        <f aca="false">Capacity*H90</f>
        <v>18000</v>
      </c>
      <c r="AE90" s="82" t="n">
        <f aca="false">INDEX(Routes!$J$6:$J$9,$C90)*E90</f>
        <v>52</v>
      </c>
      <c r="AF90" s="82" t="n">
        <f aca="false">INDEX(Routes!$K$6:$K$9,$C90)*E90</f>
        <v>38</v>
      </c>
      <c r="AG90" s="67" t="n">
        <f aca="false">AC90*AE90+AD90*AF90</f>
        <v>2462400</v>
      </c>
      <c r="AH90" s="67" t="n">
        <f aca="false">AG90*Commission</f>
        <v>61560</v>
      </c>
      <c r="AI90" s="67" t="n">
        <f aca="false">Y90+Z90+AA90+AB90+MiscVoy</f>
        <v>1038068.383838</v>
      </c>
      <c r="AJ90" s="77" t="n">
        <f aca="false">N90+U90+V90+W90</f>
        <v>49.4074074074074</v>
      </c>
      <c r="AK90" s="94" t="n">
        <f aca="false">(AG90-AH90-AI90)/AJ90</f>
        <v>27582.3340602504</v>
      </c>
      <c r="AL90" s="67" t="n">
        <f aca="false">AG90-AH90-AI90-Benchmark*AJ90</f>
        <v>473438.282828667</v>
      </c>
      <c r="AM90" s="82" t="n">
        <f aca="false">IF(AC90&gt;0,((Benchmark*AJ90+AI90)/(1-Commission)-AD90*AF90)/AC90,0)</f>
        <v>37.8018208778328</v>
      </c>
      <c r="AN90" s="67" t="n">
        <f aca="false">LOA_ft*Port_Tariffs!$C$9*IF((INDEX(Routes!$L$6:$L$9,$C90)*INDEX(Routes!$X$6:$X$9,$C90)*F90)&lt;=2,(INDEX(Routes!$L$6:$L$9,$C90)*INDEX(Routes!$X$6:$X$9,$C90)*F90),IF((INDEX(Routes!$L$6:$L$9,$C90)*INDEX(Routes!$X$6:$X$9,$C90)*F90)&lt;=3,2+0.9*((INDEX(Routes!$L$6:$L$9,$C90)*INDEX(Routes!$X$6:$X$9,$C90)*F90)-2),IF((INDEX(Routes!$L$6:$L$9,$C90)*INDEX(Routes!$X$6:$X$9,$C90)*F90)&lt;=4,2.9+0.75*((INDEX(Routes!$L$6:$L$9,$C90)*INDEX(Routes!$X$6:$X$9,$C90)*F90)-3),IF((INDEX(Routes!$L$6:$L$9,$C90)*INDEX(Routes!$X$6:$X$9,$C90)*F90)&lt;=5,3.65+0.6*((INDEX(Routes!$L$6:$L$9,$C90)*INDEX(Routes!$X$6:$X$9,$C90)*F90)-4),4.25+0.5*((INDEX(Routes!$L$6:$L$9,$C90)*INDEX(Routes!$X$6:$X$9,$C90)*F90)-5)))))</f>
        <v>19557.6</v>
      </c>
      <c r="AO90" s="67" t="n">
        <f aca="false">LOA_ft*Port_Tariffs!$C$9*IF((INDEX(Routes!$M$6:$M$9,$C90)*INDEX(Routes!$Y$6:$Y$9,$C90)*F90)&lt;=2,(INDEX(Routes!$M$6:$M$9,$C90)*INDEX(Routes!$Y$6:$Y$9,$C90)*F90),IF((INDEX(Routes!$M$6:$M$9,$C90)*INDEX(Routes!$Y$6:$Y$9,$C90)*F90)&lt;=3,2+0.9*((INDEX(Routes!$M$6:$M$9,$C90)*INDEX(Routes!$Y$6:$Y$9,$C90)*F90)-2),IF((INDEX(Routes!$M$6:$M$9,$C90)*INDEX(Routes!$Y$6:$Y$9,$C90)*F90)&lt;=4,2.9+0.75*((INDEX(Routes!$M$6:$M$9,$C90)*INDEX(Routes!$Y$6:$Y$9,$C90)*F90)-3),IF((INDEX(Routes!$M$6:$M$9,$C90)*INDEX(Routes!$Y$6:$Y$9,$C90)*F90)&lt;=5,3.65+0.6*((INDEX(Routes!$M$6:$M$9,$C90)*INDEX(Routes!$Y$6:$Y$9,$C90)*F90)-4),4.25+0.5*((INDEX(Routes!$M$6:$M$9,$C90)*INDEX(Routes!$Y$6:$Y$9,$C90)*F90)-5)))))</f>
        <v>0</v>
      </c>
    </row>
    <row r="91" customFormat="false" ht="15" hidden="false" customHeight="false" outlineLevel="0" collapsed="false">
      <c r="A91" s="2" t="s">
        <v>586</v>
      </c>
      <c r="B91" s="2" t="s">
        <v>564</v>
      </c>
      <c r="C91" s="16" t="n">
        <f aca="false">Sw_Route</f>
        <v>1</v>
      </c>
      <c r="D91" s="70" t="n">
        <v>90</v>
      </c>
      <c r="E91" s="88" t="n">
        <f aca="false">FreightMult</f>
        <v>1</v>
      </c>
      <c r="F91" s="88" t="n">
        <f aca="false">PortMult</f>
        <v>1</v>
      </c>
      <c r="G91" s="59" t="n">
        <v>0.95</v>
      </c>
      <c r="H91" s="89" t="n">
        <f aca="false">UtilBH</f>
        <v>0.5</v>
      </c>
      <c r="I91" s="90" t="n">
        <f aca="false">Speed</f>
        <v>13.5</v>
      </c>
      <c r="J91" s="88" t="n">
        <f aca="false">PortCostMult</f>
        <v>1</v>
      </c>
      <c r="K91" s="90" t="n">
        <f aca="false">EUA</f>
        <v>75</v>
      </c>
      <c r="L91" s="71" t="n">
        <f aca="false">INDEX(Routes!$E$6:$E$9,$C91)</f>
        <v>5000</v>
      </c>
      <c r="M91" s="72" t="n">
        <f aca="false">INDEX(Routes!$F$6:$F$9,$C91)/L91</f>
        <v>0.13</v>
      </c>
      <c r="N91" s="77" t="n">
        <f aca="false">2*L91*(1+SeaMargin)/(I91*24)</f>
        <v>32.4074074074074</v>
      </c>
      <c r="O91" s="84" t="n">
        <f aca="false">(I91/RefSpeed)^SpeedExp</f>
        <v>1</v>
      </c>
      <c r="P91" s="2" t="n">
        <f aca="false">IF(H91&gt;0,1,0)</f>
        <v>1</v>
      </c>
      <c r="Q91" s="71" t="n">
        <f aca="false">N91/2*O91*(ConsLaden+IF(P91=1,ConsLaden,ConsBallast))</f>
        <v>875</v>
      </c>
      <c r="R91" s="71" t="n">
        <f aca="false">Q91*(1-M91)</f>
        <v>761.25</v>
      </c>
      <c r="S91" s="71" t="n">
        <f aca="false">Q91*M91</f>
        <v>113.75</v>
      </c>
      <c r="T91" s="2" t="n">
        <f aca="false">1+P91</f>
        <v>2</v>
      </c>
      <c r="U91" s="77" t="n">
        <f aca="false">INDEX(Routes!$L$6:$L$9,$C91)*T91*F91</f>
        <v>10</v>
      </c>
      <c r="V91" s="77" t="n">
        <f aca="false">INDEX(Routes!$M$6:$M$9,$C91)*T91*F91</f>
        <v>7</v>
      </c>
      <c r="W91" s="77" t="n">
        <f aca="false">INDEX(Routes!$H$6:$H$9,$C91)*2</f>
        <v>0</v>
      </c>
      <c r="X91" s="71" t="n">
        <f aca="false">(U91+V91+W91)*ConsPort</f>
        <v>102</v>
      </c>
      <c r="Y91" s="67" t="n">
        <f aca="false">R91*D91*VLSFO_Mult+(S91+X91)*D91*MGO_Mult</f>
        <v>715896</v>
      </c>
      <c r="Z91" s="67" t="n">
        <f aca="false">(INDEX(Routes!$N$6:$N$9,$C91)+AN91+MIN(AC91*INDEX(Routes!$T$6:$T$9,$C91),INDEX(Routes!$V$6:$V$9,$C91))+INDEX(Routes!$O$6:$O$9,$C91)+AO91+MIN(AC91*INDEX(Routes!$U$6:$U$9,$C91),INDEX(Routes!$W$6:$W$9,$C91))+IF(P91=1,INDEX(Routes!$N$6:$N$9,$C91)+AN91+MIN(AD91*INDEX(Routes!$T$6:$T$9,$C91),INDEX(Routes!$V$6:$V$9,$C91))+INDEX(Routes!$O$6:$O$9,$C91)+AO91+MIN(AD91*INDEX(Routes!$U$6:$U$9,$C91),INDEX(Routes!$W$6:$W$9,$C91)),0))*J91</f>
        <v>252779.975088</v>
      </c>
      <c r="AA91" s="67" t="n">
        <f aca="false">INDEX(Routes!$R$6:$R$9,$C91)+IF(P91=1,INDEX(Routes!$R$6:$R$9,$C91),INDEX(Routes!$S$6:$S$9,$C91))</f>
        <v>0</v>
      </c>
      <c r="AB91" s="67" t="n">
        <f aca="false">((R91*CO2_VLSFO+S91*CO2_MGO)*INDEX(Routes!$I$6:$I$9,$C91)+(U91*INDEX(Routes!$P$6:$P$9,$C91)+V91*INDEX(Routes!$Q$6:$Q$9,$C91))*ConsPort*CO2_MGO)*PhaseIn*K91*FX</f>
        <v>123936.40875</v>
      </c>
      <c r="AC91" s="71" t="n">
        <f aca="false">Capacity*G91</f>
        <v>34200</v>
      </c>
      <c r="AD91" s="71" t="n">
        <f aca="false">Capacity*H91</f>
        <v>18000</v>
      </c>
      <c r="AE91" s="82" t="n">
        <f aca="false">INDEX(Routes!$J$6:$J$9,$C91)*E91</f>
        <v>52</v>
      </c>
      <c r="AF91" s="82" t="n">
        <f aca="false">INDEX(Routes!$K$6:$K$9,$C91)*E91</f>
        <v>38</v>
      </c>
      <c r="AG91" s="67" t="n">
        <f aca="false">AC91*AE91+AD91*AF91</f>
        <v>2462400</v>
      </c>
      <c r="AH91" s="67" t="n">
        <f aca="false">AG91*Commission</f>
        <v>61560</v>
      </c>
      <c r="AI91" s="67" t="n">
        <f aca="false">Y91+Z91+AA91+AB91+MiscVoy</f>
        <v>1117612.383838</v>
      </c>
      <c r="AJ91" s="77" t="n">
        <f aca="false">N91+U91+V91+W91</f>
        <v>49.4074074074074</v>
      </c>
      <c r="AK91" s="94" t="n">
        <f aca="false">(AG91-AH91-AI91)/AJ91</f>
        <v>25972.3730407601</v>
      </c>
      <c r="AL91" s="67" t="n">
        <f aca="false">AG91-AH91-AI91-Benchmark*AJ91</f>
        <v>393894.282828667</v>
      </c>
      <c r="AM91" s="82" t="n">
        <f aca="false">IF(AC91&gt;0,((Benchmark*AJ91+AI91)/(1-Commission)-AD91*AF91)/AC91,0)</f>
        <v>40.1873059580547</v>
      </c>
      <c r="AN91" s="67" t="n">
        <f aca="false">LOA_ft*Port_Tariffs!$C$9*IF((INDEX(Routes!$L$6:$L$9,$C91)*INDEX(Routes!$X$6:$X$9,$C91)*F91)&lt;=2,(INDEX(Routes!$L$6:$L$9,$C91)*INDEX(Routes!$X$6:$X$9,$C91)*F91),IF((INDEX(Routes!$L$6:$L$9,$C91)*INDEX(Routes!$X$6:$X$9,$C91)*F91)&lt;=3,2+0.9*((INDEX(Routes!$L$6:$L$9,$C91)*INDEX(Routes!$X$6:$X$9,$C91)*F91)-2),IF((INDEX(Routes!$L$6:$L$9,$C91)*INDEX(Routes!$X$6:$X$9,$C91)*F91)&lt;=4,2.9+0.75*((INDEX(Routes!$L$6:$L$9,$C91)*INDEX(Routes!$X$6:$X$9,$C91)*F91)-3),IF((INDEX(Routes!$L$6:$L$9,$C91)*INDEX(Routes!$X$6:$X$9,$C91)*F91)&lt;=5,3.65+0.6*((INDEX(Routes!$L$6:$L$9,$C91)*INDEX(Routes!$X$6:$X$9,$C91)*F91)-4),4.25+0.5*((INDEX(Routes!$L$6:$L$9,$C91)*INDEX(Routes!$X$6:$X$9,$C91)*F91)-5)))))</f>
        <v>19557.6</v>
      </c>
      <c r="AO91" s="67" t="n">
        <f aca="false">LOA_ft*Port_Tariffs!$C$9*IF((INDEX(Routes!$M$6:$M$9,$C91)*INDEX(Routes!$Y$6:$Y$9,$C91)*F91)&lt;=2,(INDEX(Routes!$M$6:$M$9,$C91)*INDEX(Routes!$Y$6:$Y$9,$C91)*F91),IF((INDEX(Routes!$M$6:$M$9,$C91)*INDEX(Routes!$Y$6:$Y$9,$C91)*F91)&lt;=3,2+0.9*((INDEX(Routes!$M$6:$M$9,$C91)*INDEX(Routes!$Y$6:$Y$9,$C91)*F91)-2),IF((INDEX(Routes!$M$6:$M$9,$C91)*INDEX(Routes!$Y$6:$Y$9,$C91)*F91)&lt;=4,2.9+0.75*((INDEX(Routes!$M$6:$M$9,$C91)*INDEX(Routes!$Y$6:$Y$9,$C91)*F91)-3),IF((INDEX(Routes!$M$6:$M$9,$C91)*INDEX(Routes!$Y$6:$Y$9,$C91)*F91)&lt;=5,3.65+0.6*((INDEX(Routes!$M$6:$M$9,$C91)*INDEX(Routes!$Y$6:$Y$9,$C91)*F91)-4),4.25+0.5*((INDEX(Routes!$M$6:$M$9,$C91)*INDEX(Routes!$Y$6:$Y$9,$C91)*F91)-5)))))</f>
        <v>0</v>
      </c>
    </row>
    <row r="92" customFormat="false" ht="15" hidden="false" customHeight="false" outlineLevel="0" collapsed="false">
      <c r="A92" s="2" t="s">
        <v>587</v>
      </c>
      <c r="B92" s="2" t="s">
        <v>564</v>
      </c>
      <c r="C92" s="16" t="n">
        <f aca="false">Sw_Route</f>
        <v>1</v>
      </c>
      <c r="D92" s="70" t="n">
        <v>100</v>
      </c>
      <c r="E92" s="88" t="n">
        <f aca="false">FreightMult</f>
        <v>1</v>
      </c>
      <c r="F92" s="88" t="n">
        <f aca="false">PortMult</f>
        <v>1</v>
      </c>
      <c r="G92" s="59" t="n">
        <v>0.95</v>
      </c>
      <c r="H92" s="89" t="n">
        <f aca="false">UtilBH</f>
        <v>0.5</v>
      </c>
      <c r="I92" s="90" t="n">
        <f aca="false">Speed</f>
        <v>13.5</v>
      </c>
      <c r="J92" s="88" t="n">
        <f aca="false">PortCostMult</f>
        <v>1</v>
      </c>
      <c r="K92" s="90" t="n">
        <f aca="false">EUA</f>
        <v>75</v>
      </c>
      <c r="L92" s="71" t="n">
        <f aca="false">INDEX(Routes!$E$6:$E$9,$C92)</f>
        <v>5000</v>
      </c>
      <c r="M92" s="72" t="n">
        <f aca="false">INDEX(Routes!$F$6:$F$9,$C92)/L92</f>
        <v>0.13</v>
      </c>
      <c r="N92" s="77" t="n">
        <f aca="false">2*L92*(1+SeaMargin)/(I92*24)</f>
        <v>32.4074074074074</v>
      </c>
      <c r="O92" s="84" t="n">
        <f aca="false">(I92/RefSpeed)^SpeedExp</f>
        <v>1</v>
      </c>
      <c r="P92" s="2" t="n">
        <f aca="false">IF(H92&gt;0,1,0)</f>
        <v>1</v>
      </c>
      <c r="Q92" s="71" t="n">
        <f aca="false">N92/2*O92*(ConsLaden+IF(P92=1,ConsLaden,ConsBallast))</f>
        <v>875</v>
      </c>
      <c r="R92" s="71" t="n">
        <f aca="false">Q92*(1-M92)</f>
        <v>761.25</v>
      </c>
      <c r="S92" s="71" t="n">
        <f aca="false">Q92*M92</f>
        <v>113.75</v>
      </c>
      <c r="T92" s="2" t="n">
        <f aca="false">1+P92</f>
        <v>2</v>
      </c>
      <c r="U92" s="77" t="n">
        <f aca="false">INDEX(Routes!$L$6:$L$9,$C92)*T92*F92</f>
        <v>10</v>
      </c>
      <c r="V92" s="77" t="n">
        <f aca="false">INDEX(Routes!$M$6:$M$9,$C92)*T92*F92</f>
        <v>7</v>
      </c>
      <c r="W92" s="77" t="n">
        <f aca="false">INDEX(Routes!$H$6:$H$9,$C92)*2</f>
        <v>0</v>
      </c>
      <c r="X92" s="71" t="n">
        <f aca="false">(U92+V92+W92)*ConsPort</f>
        <v>102</v>
      </c>
      <c r="Y92" s="67" t="n">
        <f aca="false">R92*D92*VLSFO_Mult+(S92+X92)*D92*MGO_Mult</f>
        <v>795440</v>
      </c>
      <c r="Z92" s="67" t="n">
        <f aca="false">(INDEX(Routes!$N$6:$N$9,$C92)+AN92+MIN(AC92*INDEX(Routes!$T$6:$T$9,$C92),INDEX(Routes!$V$6:$V$9,$C92))+INDEX(Routes!$O$6:$O$9,$C92)+AO92+MIN(AC92*INDEX(Routes!$U$6:$U$9,$C92),INDEX(Routes!$W$6:$W$9,$C92))+IF(P92=1,INDEX(Routes!$N$6:$N$9,$C92)+AN92+MIN(AD92*INDEX(Routes!$T$6:$T$9,$C92),INDEX(Routes!$V$6:$V$9,$C92))+INDEX(Routes!$O$6:$O$9,$C92)+AO92+MIN(AD92*INDEX(Routes!$U$6:$U$9,$C92),INDEX(Routes!$W$6:$W$9,$C92)),0))*J92</f>
        <v>252779.975088</v>
      </c>
      <c r="AA92" s="67" t="n">
        <f aca="false">INDEX(Routes!$R$6:$R$9,$C92)+IF(P92=1,INDEX(Routes!$R$6:$R$9,$C92),INDEX(Routes!$S$6:$S$9,$C92))</f>
        <v>0</v>
      </c>
      <c r="AB92" s="67" t="n">
        <f aca="false">((R92*CO2_VLSFO+S92*CO2_MGO)*INDEX(Routes!$I$6:$I$9,$C92)+(U92*INDEX(Routes!$P$6:$P$9,$C92)+V92*INDEX(Routes!$Q$6:$Q$9,$C92))*ConsPort*CO2_MGO)*PhaseIn*K92*FX</f>
        <v>123936.40875</v>
      </c>
      <c r="AC92" s="71" t="n">
        <f aca="false">Capacity*G92</f>
        <v>34200</v>
      </c>
      <c r="AD92" s="71" t="n">
        <f aca="false">Capacity*H92</f>
        <v>18000</v>
      </c>
      <c r="AE92" s="82" t="n">
        <f aca="false">INDEX(Routes!$J$6:$J$9,$C92)*E92</f>
        <v>52</v>
      </c>
      <c r="AF92" s="82" t="n">
        <f aca="false">INDEX(Routes!$K$6:$K$9,$C92)*E92</f>
        <v>38</v>
      </c>
      <c r="AG92" s="67" t="n">
        <f aca="false">AC92*AE92+AD92*AF92</f>
        <v>2462400</v>
      </c>
      <c r="AH92" s="67" t="n">
        <f aca="false">AG92*Commission</f>
        <v>61560</v>
      </c>
      <c r="AI92" s="67" t="n">
        <f aca="false">Y92+Z92+AA92+AB92+MiscVoy</f>
        <v>1197156.383838</v>
      </c>
      <c r="AJ92" s="77" t="n">
        <f aca="false">N92+U92+V92+W92</f>
        <v>49.4074074074074</v>
      </c>
      <c r="AK92" s="94" t="n">
        <f aca="false">(AG92-AH92-AI92)/AJ92</f>
        <v>24362.4120212699</v>
      </c>
      <c r="AL92" s="67" t="n">
        <f aca="false">AG92-AH92-AI92-Benchmark*AJ92</f>
        <v>314350.282828667</v>
      </c>
      <c r="AM92" s="82" t="n">
        <f aca="false">IF(AC92&gt;0,((Benchmark*AJ92+AI92)/(1-Commission)-AD92*AF92)/AC92,0)</f>
        <v>42.5727910382766</v>
      </c>
      <c r="AN92" s="67" t="n">
        <f aca="false">LOA_ft*Port_Tariffs!$C$9*IF((INDEX(Routes!$L$6:$L$9,$C92)*INDEX(Routes!$X$6:$X$9,$C92)*F92)&lt;=2,(INDEX(Routes!$L$6:$L$9,$C92)*INDEX(Routes!$X$6:$X$9,$C92)*F92),IF((INDEX(Routes!$L$6:$L$9,$C92)*INDEX(Routes!$X$6:$X$9,$C92)*F92)&lt;=3,2+0.9*((INDEX(Routes!$L$6:$L$9,$C92)*INDEX(Routes!$X$6:$X$9,$C92)*F92)-2),IF((INDEX(Routes!$L$6:$L$9,$C92)*INDEX(Routes!$X$6:$X$9,$C92)*F92)&lt;=4,2.9+0.75*((INDEX(Routes!$L$6:$L$9,$C92)*INDEX(Routes!$X$6:$X$9,$C92)*F92)-3),IF((INDEX(Routes!$L$6:$L$9,$C92)*INDEX(Routes!$X$6:$X$9,$C92)*F92)&lt;=5,3.65+0.6*((INDEX(Routes!$L$6:$L$9,$C92)*INDEX(Routes!$X$6:$X$9,$C92)*F92)-4),4.25+0.5*((INDEX(Routes!$L$6:$L$9,$C92)*INDEX(Routes!$X$6:$X$9,$C92)*F92)-5)))))</f>
        <v>19557.6</v>
      </c>
      <c r="AO92" s="67" t="n">
        <f aca="false">LOA_ft*Port_Tariffs!$C$9*IF((INDEX(Routes!$M$6:$M$9,$C92)*INDEX(Routes!$Y$6:$Y$9,$C92)*F92)&lt;=2,(INDEX(Routes!$M$6:$M$9,$C92)*INDEX(Routes!$Y$6:$Y$9,$C92)*F92),IF((INDEX(Routes!$M$6:$M$9,$C92)*INDEX(Routes!$Y$6:$Y$9,$C92)*F92)&lt;=3,2+0.9*((INDEX(Routes!$M$6:$M$9,$C92)*INDEX(Routes!$Y$6:$Y$9,$C92)*F92)-2),IF((INDEX(Routes!$M$6:$M$9,$C92)*INDEX(Routes!$Y$6:$Y$9,$C92)*F92)&lt;=4,2.9+0.75*((INDEX(Routes!$M$6:$M$9,$C92)*INDEX(Routes!$Y$6:$Y$9,$C92)*F92)-3),IF((INDEX(Routes!$M$6:$M$9,$C92)*INDEX(Routes!$Y$6:$Y$9,$C92)*F92)&lt;=5,3.65+0.6*((INDEX(Routes!$M$6:$M$9,$C92)*INDEX(Routes!$Y$6:$Y$9,$C92)*F92)-4),4.25+0.5*((INDEX(Routes!$M$6:$M$9,$C92)*INDEX(Routes!$Y$6:$Y$9,$C92)*F92)-5)))))</f>
        <v>0</v>
      </c>
    </row>
    <row r="93" customFormat="false" ht="15" hidden="false" customHeight="false" outlineLevel="0" collapsed="false">
      <c r="A93" s="2" t="s">
        <v>588</v>
      </c>
      <c r="B93" s="2" t="s">
        <v>564</v>
      </c>
      <c r="C93" s="16" t="n">
        <f aca="false">Sw_Route</f>
        <v>1</v>
      </c>
      <c r="D93" s="70" t="n">
        <v>110</v>
      </c>
      <c r="E93" s="88" t="n">
        <f aca="false">FreightMult</f>
        <v>1</v>
      </c>
      <c r="F93" s="88" t="n">
        <f aca="false">PortMult</f>
        <v>1</v>
      </c>
      <c r="G93" s="59" t="n">
        <v>0.95</v>
      </c>
      <c r="H93" s="89" t="n">
        <f aca="false">UtilBH</f>
        <v>0.5</v>
      </c>
      <c r="I93" s="90" t="n">
        <f aca="false">Speed</f>
        <v>13.5</v>
      </c>
      <c r="J93" s="88" t="n">
        <f aca="false">PortCostMult</f>
        <v>1</v>
      </c>
      <c r="K93" s="90" t="n">
        <f aca="false">EUA</f>
        <v>75</v>
      </c>
      <c r="L93" s="71" t="n">
        <f aca="false">INDEX(Routes!$E$6:$E$9,$C93)</f>
        <v>5000</v>
      </c>
      <c r="M93" s="72" t="n">
        <f aca="false">INDEX(Routes!$F$6:$F$9,$C93)/L93</f>
        <v>0.13</v>
      </c>
      <c r="N93" s="77" t="n">
        <f aca="false">2*L93*(1+SeaMargin)/(I93*24)</f>
        <v>32.4074074074074</v>
      </c>
      <c r="O93" s="84" t="n">
        <f aca="false">(I93/RefSpeed)^SpeedExp</f>
        <v>1</v>
      </c>
      <c r="P93" s="2" t="n">
        <f aca="false">IF(H93&gt;0,1,0)</f>
        <v>1</v>
      </c>
      <c r="Q93" s="71" t="n">
        <f aca="false">N93/2*O93*(ConsLaden+IF(P93=1,ConsLaden,ConsBallast))</f>
        <v>875</v>
      </c>
      <c r="R93" s="71" t="n">
        <f aca="false">Q93*(1-M93)</f>
        <v>761.25</v>
      </c>
      <c r="S93" s="71" t="n">
        <f aca="false">Q93*M93</f>
        <v>113.75</v>
      </c>
      <c r="T93" s="2" t="n">
        <f aca="false">1+P93</f>
        <v>2</v>
      </c>
      <c r="U93" s="77" t="n">
        <f aca="false">INDEX(Routes!$L$6:$L$9,$C93)*T93*F93</f>
        <v>10</v>
      </c>
      <c r="V93" s="77" t="n">
        <f aca="false">INDEX(Routes!$M$6:$M$9,$C93)*T93*F93</f>
        <v>7</v>
      </c>
      <c r="W93" s="77" t="n">
        <f aca="false">INDEX(Routes!$H$6:$H$9,$C93)*2</f>
        <v>0</v>
      </c>
      <c r="X93" s="71" t="n">
        <f aca="false">(U93+V93+W93)*ConsPort</f>
        <v>102</v>
      </c>
      <c r="Y93" s="67" t="n">
        <f aca="false">R93*D93*VLSFO_Mult+(S93+X93)*D93*MGO_Mult</f>
        <v>874984</v>
      </c>
      <c r="Z93" s="67" t="n">
        <f aca="false">(INDEX(Routes!$N$6:$N$9,$C93)+AN93+MIN(AC93*INDEX(Routes!$T$6:$T$9,$C93),INDEX(Routes!$V$6:$V$9,$C93))+INDEX(Routes!$O$6:$O$9,$C93)+AO93+MIN(AC93*INDEX(Routes!$U$6:$U$9,$C93),INDEX(Routes!$W$6:$W$9,$C93))+IF(P93=1,INDEX(Routes!$N$6:$N$9,$C93)+AN93+MIN(AD93*INDEX(Routes!$T$6:$T$9,$C93),INDEX(Routes!$V$6:$V$9,$C93))+INDEX(Routes!$O$6:$O$9,$C93)+AO93+MIN(AD93*INDEX(Routes!$U$6:$U$9,$C93),INDEX(Routes!$W$6:$W$9,$C93)),0))*J93</f>
        <v>252779.975088</v>
      </c>
      <c r="AA93" s="67" t="n">
        <f aca="false">INDEX(Routes!$R$6:$R$9,$C93)+IF(P93=1,INDEX(Routes!$R$6:$R$9,$C93),INDEX(Routes!$S$6:$S$9,$C93))</f>
        <v>0</v>
      </c>
      <c r="AB93" s="67" t="n">
        <f aca="false">((R93*CO2_VLSFO+S93*CO2_MGO)*INDEX(Routes!$I$6:$I$9,$C93)+(U93*INDEX(Routes!$P$6:$P$9,$C93)+V93*INDEX(Routes!$Q$6:$Q$9,$C93))*ConsPort*CO2_MGO)*PhaseIn*K93*FX</f>
        <v>123936.40875</v>
      </c>
      <c r="AC93" s="71" t="n">
        <f aca="false">Capacity*G93</f>
        <v>34200</v>
      </c>
      <c r="AD93" s="71" t="n">
        <f aca="false">Capacity*H93</f>
        <v>18000</v>
      </c>
      <c r="AE93" s="82" t="n">
        <f aca="false">INDEX(Routes!$J$6:$J$9,$C93)*E93</f>
        <v>52</v>
      </c>
      <c r="AF93" s="82" t="n">
        <f aca="false">INDEX(Routes!$K$6:$K$9,$C93)*E93</f>
        <v>38</v>
      </c>
      <c r="AG93" s="67" t="n">
        <f aca="false">AC93*AE93+AD93*AF93</f>
        <v>2462400</v>
      </c>
      <c r="AH93" s="67" t="n">
        <f aca="false">AG93*Commission</f>
        <v>61560</v>
      </c>
      <c r="AI93" s="67" t="n">
        <f aca="false">Y93+Z93+AA93+AB93+MiscVoy</f>
        <v>1276700.383838</v>
      </c>
      <c r="AJ93" s="77" t="n">
        <f aca="false">N93+U93+V93+W93</f>
        <v>49.4074074074074</v>
      </c>
      <c r="AK93" s="94" t="n">
        <f aca="false">(AG93-AH93-AI93)/AJ93</f>
        <v>22752.4510017796</v>
      </c>
      <c r="AL93" s="67" t="n">
        <f aca="false">AG93-AH93-AI93-Benchmark*AJ93</f>
        <v>234806.282828667</v>
      </c>
      <c r="AM93" s="82" t="n">
        <f aca="false">IF(AC93&gt;0,((Benchmark*AJ93+AI93)/(1-Commission)-AD93*AF93)/AC93,0)</f>
        <v>44.9582761184985</v>
      </c>
      <c r="AN93" s="67" t="n">
        <f aca="false">LOA_ft*Port_Tariffs!$C$9*IF((INDEX(Routes!$L$6:$L$9,$C93)*INDEX(Routes!$X$6:$X$9,$C93)*F93)&lt;=2,(INDEX(Routes!$L$6:$L$9,$C93)*INDEX(Routes!$X$6:$X$9,$C93)*F93),IF((INDEX(Routes!$L$6:$L$9,$C93)*INDEX(Routes!$X$6:$X$9,$C93)*F93)&lt;=3,2+0.9*((INDEX(Routes!$L$6:$L$9,$C93)*INDEX(Routes!$X$6:$X$9,$C93)*F93)-2),IF((INDEX(Routes!$L$6:$L$9,$C93)*INDEX(Routes!$X$6:$X$9,$C93)*F93)&lt;=4,2.9+0.75*((INDEX(Routes!$L$6:$L$9,$C93)*INDEX(Routes!$X$6:$X$9,$C93)*F93)-3),IF((INDEX(Routes!$L$6:$L$9,$C93)*INDEX(Routes!$X$6:$X$9,$C93)*F93)&lt;=5,3.65+0.6*((INDEX(Routes!$L$6:$L$9,$C93)*INDEX(Routes!$X$6:$X$9,$C93)*F93)-4),4.25+0.5*((INDEX(Routes!$L$6:$L$9,$C93)*INDEX(Routes!$X$6:$X$9,$C93)*F93)-5)))))</f>
        <v>19557.6</v>
      </c>
      <c r="AO93" s="67" t="n">
        <f aca="false">LOA_ft*Port_Tariffs!$C$9*IF((INDEX(Routes!$M$6:$M$9,$C93)*INDEX(Routes!$Y$6:$Y$9,$C93)*F93)&lt;=2,(INDEX(Routes!$M$6:$M$9,$C93)*INDEX(Routes!$Y$6:$Y$9,$C93)*F93),IF((INDEX(Routes!$M$6:$M$9,$C93)*INDEX(Routes!$Y$6:$Y$9,$C93)*F93)&lt;=3,2+0.9*((INDEX(Routes!$M$6:$M$9,$C93)*INDEX(Routes!$Y$6:$Y$9,$C93)*F93)-2),IF((INDEX(Routes!$M$6:$M$9,$C93)*INDEX(Routes!$Y$6:$Y$9,$C93)*F93)&lt;=4,2.9+0.75*((INDEX(Routes!$M$6:$M$9,$C93)*INDEX(Routes!$Y$6:$Y$9,$C93)*F93)-3),IF((INDEX(Routes!$M$6:$M$9,$C93)*INDEX(Routes!$Y$6:$Y$9,$C93)*F93)&lt;=5,3.65+0.6*((INDEX(Routes!$M$6:$M$9,$C93)*INDEX(Routes!$Y$6:$Y$9,$C93)*F93)-4),4.25+0.5*((INDEX(Routes!$M$6:$M$9,$C93)*INDEX(Routes!$Y$6:$Y$9,$C93)*F93)-5)))))</f>
        <v>0</v>
      </c>
    </row>
    <row r="94" customFormat="false" ht="15" hidden="false" customHeight="false" outlineLevel="0" collapsed="false">
      <c r="A94" s="2" t="s">
        <v>589</v>
      </c>
      <c r="B94" s="2" t="s">
        <v>564</v>
      </c>
      <c r="C94" s="16" t="n">
        <f aca="false">Sw_Route</f>
        <v>1</v>
      </c>
      <c r="D94" s="70" t="n">
        <v>120</v>
      </c>
      <c r="E94" s="88" t="n">
        <f aca="false">FreightMult</f>
        <v>1</v>
      </c>
      <c r="F94" s="88" t="n">
        <f aca="false">PortMult</f>
        <v>1</v>
      </c>
      <c r="G94" s="59" t="n">
        <v>0.95</v>
      </c>
      <c r="H94" s="89" t="n">
        <f aca="false">UtilBH</f>
        <v>0.5</v>
      </c>
      <c r="I94" s="90" t="n">
        <f aca="false">Speed</f>
        <v>13.5</v>
      </c>
      <c r="J94" s="88" t="n">
        <f aca="false">PortCostMult</f>
        <v>1</v>
      </c>
      <c r="K94" s="90" t="n">
        <f aca="false">EUA</f>
        <v>75</v>
      </c>
      <c r="L94" s="71" t="n">
        <f aca="false">INDEX(Routes!$E$6:$E$9,$C94)</f>
        <v>5000</v>
      </c>
      <c r="M94" s="72" t="n">
        <f aca="false">INDEX(Routes!$F$6:$F$9,$C94)/L94</f>
        <v>0.13</v>
      </c>
      <c r="N94" s="77" t="n">
        <f aca="false">2*L94*(1+SeaMargin)/(I94*24)</f>
        <v>32.4074074074074</v>
      </c>
      <c r="O94" s="84" t="n">
        <f aca="false">(I94/RefSpeed)^SpeedExp</f>
        <v>1</v>
      </c>
      <c r="P94" s="2" t="n">
        <f aca="false">IF(H94&gt;0,1,0)</f>
        <v>1</v>
      </c>
      <c r="Q94" s="71" t="n">
        <f aca="false">N94/2*O94*(ConsLaden+IF(P94=1,ConsLaden,ConsBallast))</f>
        <v>875</v>
      </c>
      <c r="R94" s="71" t="n">
        <f aca="false">Q94*(1-M94)</f>
        <v>761.25</v>
      </c>
      <c r="S94" s="71" t="n">
        <f aca="false">Q94*M94</f>
        <v>113.75</v>
      </c>
      <c r="T94" s="2" t="n">
        <f aca="false">1+P94</f>
        <v>2</v>
      </c>
      <c r="U94" s="77" t="n">
        <f aca="false">INDEX(Routes!$L$6:$L$9,$C94)*T94*F94</f>
        <v>10</v>
      </c>
      <c r="V94" s="77" t="n">
        <f aca="false">INDEX(Routes!$M$6:$M$9,$C94)*T94*F94</f>
        <v>7</v>
      </c>
      <c r="W94" s="77" t="n">
        <f aca="false">INDEX(Routes!$H$6:$H$9,$C94)*2</f>
        <v>0</v>
      </c>
      <c r="X94" s="71" t="n">
        <f aca="false">(U94+V94+W94)*ConsPort</f>
        <v>102</v>
      </c>
      <c r="Y94" s="67" t="n">
        <f aca="false">R94*D94*VLSFO_Mult+(S94+X94)*D94*MGO_Mult</f>
        <v>954528</v>
      </c>
      <c r="Z94" s="67" t="n">
        <f aca="false">(INDEX(Routes!$N$6:$N$9,$C94)+AN94+MIN(AC94*INDEX(Routes!$T$6:$T$9,$C94),INDEX(Routes!$V$6:$V$9,$C94))+INDEX(Routes!$O$6:$O$9,$C94)+AO94+MIN(AC94*INDEX(Routes!$U$6:$U$9,$C94),INDEX(Routes!$W$6:$W$9,$C94))+IF(P94=1,INDEX(Routes!$N$6:$N$9,$C94)+AN94+MIN(AD94*INDEX(Routes!$T$6:$T$9,$C94),INDEX(Routes!$V$6:$V$9,$C94))+INDEX(Routes!$O$6:$O$9,$C94)+AO94+MIN(AD94*INDEX(Routes!$U$6:$U$9,$C94),INDEX(Routes!$W$6:$W$9,$C94)),0))*J94</f>
        <v>252779.975088</v>
      </c>
      <c r="AA94" s="67" t="n">
        <f aca="false">INDEX(Routes!$R$6:$R$9,$C94)+IF(P94=1,INDEX(Routes!$R$6:$R$9,$C94),INDEX(Routes!$S$6:$S$9,$C94))</f>
        <v>0</v>
      </c>
      <c r="AB94" s="67" t="n">
        <f aca="false">((R94*CO2_VLSFO+S94*CO2_MGO)*INDEX(Routes!$I$6:$I$9,$C94)+(U94*INDEX(Routes!$P$6:$P$9,$C94)+V94*INDEX(Routes!$Q$6:$Q$9,$C94))*ConsPort*CO2_MGO)*PhaseIn*K94*FX</f>
        <v>123936.40875</v>
      </c>
      <c r="AC94" s="71" t="n">
        <f aca="false">Capacity*G94</f>
        <v>34200</v>
      </c>
      <c r="AD94" s="71" t="n">
        <f aca="false">Capacity*H94</f>
        <v>18000</v>
      </c>
      <c r="AE94" s="82" t="n">
        <f aca="false">INDEX(Routes!$J$6:$J$9,$C94)*E94</f>
        <v>52</v>
      </c>
      <c r="AF94" s="82" t="n">
        <f aca="false">INDEX(Routes!$K$6:$K$9,$C94)*E94</f>
        <v>38</v>
      </c>
      <c r="AG94" s="67" t="n">
        <f aca="false">AC94*AE94+AD94*AF94</f>
        <v>2462400</v>
      </c>
      <c r="AH94" s="67" t="n">
        <f aca="false">AG94*Commission</f>
        <v>61560</v>
      </c>
      <c r="AI94" s="67" t="n">
        <f aca="false">Y94+Z94+AA94+AB94+MiscVoy</f>
        <v>1356244.383838</v>
      </c>
      <c r="AJ94" s="77" t="n">
        <f aca="false">N94+U94+V94+W94</f>
        <v>49.4074074074074</v>
      </c>
      <c r="AK94" s="94" t="n">
        <f aca="false">(AG94-AH94-AI94)/AJ94</f>
        <v>21142.4899822894</v>
      </c>
      <c r="AL94" s="67" t="n">
        <f aca="false">AG94-AH94-AI94-Benchmark*AJ94</f>
        <v>155262.282828667</v>
      </c>
      <c r="AM94" s="82" t="n">
        <f aca="false">IF(AC94&gt;0,((Benchmark*AJ94+AI94)/(1-Commission)-AD94*AF94)/AC94,0)</f>
        <v>47.3437611987204</v>
      </c>
      <c r="AN94" s="67" t="n">
        <f aca="false">LOA_ft*Port_Tariffs!$C$9*IF((INDEX(Routes!$L$6:$L$9,$C94)*INDEX(Routes!$X$6:$X$9,$C94)*F94)&lt;=2,(INDEX(Routes!$L$6:$L$9,$C94)*INDEX(Routes!$X$6:$X$9,$C94)*F94),IF((INDEX(Routes!$L$6:$L$9,$C94)*INDEX(Routes!$X$6:$X$9,$C94)*F94)&lt;=3,2+0.9*((INDEX(Routes!$L$6:$L$9,$C94)*INDEX(Routes!$X$6:$X$9,$C94)*F94)-2),IF((INDEX(Routes!$L$6:$L$9,$C94)*INDEX(Routes!$X$6:$X$9,$C94)*F94)&lt;=4,2.9+0.75*((INDEX(Routes!$L$6:$L$9,$C94)*INDEX(Routes!$X$6:$X$9,$C94)*F94)-3),IF((INDEX(Routes!$L$6:$L$9,$C94)*INDEX(Routes!$X$6:$X$9,$C94)*F94)&lt;=5,3.65+0.6*((INDEX(Routes!$L$6:$L$9,$C94)*INDEX(Routes!$X$6:$X$9,$C94)*F94)-4),4.25+0.5*((INDEX(Routes!$L$6:$L$9,$C94)*INDEX(Routes!$X$6:$X$9,$C94)*F94)-5)))))</f>
        <v>19557.6</v>
      </c>
      <c r="AO94" s="67" t="n">
        <f aca="false">LOA_ft*Port_Tariffs!$C$9*IF((INDEX(Routes!$M$6:$M$9,$C94)*INDEX(Routes!$Y$6:$Y$9,$C94)*F94)&lt;=2,(INDEX(Routes!$M$6:$M$9,$C94)*INDEX(Routes!$Y$6:$Y$9,$C94)*F94),IF((INDEX(Routes!$M$6:$M$9,$C94)*INDEX(Routes!$Y$6:$Y$9,$C94)*F94)&lt;=3,2+0.9*((INDEX(Routes!$M$6:$M$9,$C94)*INDEX(Routes!$Y$6:$Y$9,$C94)*F94)-2),IF((INDEX(Routes!$M$6:$M$9,$C94)*INDEX(Routes!$Y$6:$Y$9,$C94)*F94)&lt;=4,2.9+0.75*((INDEX(Routes!$M$6:$M$9,$C94)*INDEX(Routes!$Y$6:$Y$9,$C94)*F94)-3),IF((INDEX(Routes!$M$6:$M$9,$C94)*INDEX(Routes!$Y$6:$Y$9,$C94)*F94)&lt;=5,3.65+0.6*((INDEX(Routes!$M$6:$M$9,$C94)*INDEX(Routes!$Y$6:$Y$9,$C94)*F94)-4),4.25+0.5*((INDEX(Routes!$M$6:$M$9,$C94)*INDEX(Routes!$Y$6:$Y$9,$C94)*F94)-5)))))</f>
        <v>0</v>
      </c>
    </row>
    <row r="95" customFormat="false" ht="15" hidden="false" customHeight="false" outlineLevel="0" collapsed="false">
      <c r="A95" s="2" t="s">
        <v>590</v>
      </c>
      <c r="B95" s="2" t="s">
        <v>564</v>
      </c>
      <c r="C95" s="16" t="n">
        <f aca="false">Sw_Route</f>
        <v>1</v>
      </c>
      <c r="D95" s="70" t="n">
        <v>130</v>
      </c>
      <c r="E95" s="88" t="n">
        <f aca="false">FreightMult</f>
        <v>1</v>
      </c>
      <c r="F95" s="88" t="n">
        <f aca="false">PortMult</f>
        <v>1</v>
      </c>
      <c r="G95" s="59" t="n">
        <v>0.95</v>
      </c>
      <c r="H95" s="89" t="n">
        <f aca="false">UtilBH</f>
        <v>0.5</v>
      </c>
      <c r="I95" s="90" t="n">
        <f aca="false">Speed</f>
        <v>13.5</v>
      </c>
      <c r="J95" s="88" t="n">
        <f aca="false">PortCostMult</f>
        <v>1</v>
      </c>
      <c r="K95" s="90" t="n">
        <f aca="false">EUA</f>
        <v>75</v>
      </c>
      <c r="L95" s="71" t="n">
        <f aca="false">INDEX(Routes!$E$6:$E$9,$C95)</f>
        <v>5000</v>
      </c>
      <c r="M95" s="72" t="n">
        <f aca="false">INDEX(Routes!$F$6:$F$9,$C95)/L95</f>
        <v>0.13</v>
      </c>
      <c r="N95" s="77" t="n">
        <f aca="false">2*L95*(1+SeaMargin)/(I95*24)</f>
        <v>32.4074074074074</v>
      </c>
      <c r="O95" s="84" t="n">
        <f aca="false">(I95/RefSpeed)^SpeedExp</f>
        <v>1</v>
      </c>
      <c r="P95" s="2" t="n">
        <f aca="false">IF(H95&gt;0,1,0)</f>
        <v>1</v>
      </c>
      <c r="Q95" s="71" t="n">
        <f aca="false">N95/2*O95*(ConsLaden+IF(P95=1,ConsLaden,ConsBallast))</f>
        <v>875</v>
      </c>
      <c r="R95" s="71" t="n">
        <f aca="false">Q95*(1-M95)</f>
        <v>761.25</v>
      </c>
      <c r="S95" s="71" t="n">
        <f aca="false">Q95*M95</f>
        <v>113.75</v>
      </c>
      <c r="T95" s="2" t="n">
        <f aca="false">1+P95</f>
        <v>2</v>
      </c>
      <c r="U95" s="77" t="n">
        <f aca="false">INDEX(Routes!$L$6:$L$9,$C95)*T95*F95</f>
        <v>10</v>
      </c>
      <c r="V95" s="77" t="n">
        <f aca="false">INDEX(Routes!$M$6:$M$9,$C95)*T95*F95</f>
        <v>7</v>
      </c>
      <c r="W95" s="77" t="n">
        <f aca="false">INDEX(Routes!$H$6:$H$9,$C95)*2</f>
        <v>0</v>
      </c>
      <c r="X95" s="71" t="n">
        <f aca="false">(U95+V95+W95)*ConsPort</f>
        <v>102</v>
      </c>
      <c r="Y95" s="67" t="n">
        <f aca="false">R95*D95*VLSFO_Mult+(S95+X95)*D95*MGO_Mult</f>
        <v>1034072</v>
      </c>
      <c r="Z95" s="67" t="n">
        <f aca="false">(INDEX(Routes!$N$6:$N$9,$C95)+AN95+MIN(AC95*INDEX(Routes!$T$6:$T$9,$C95),INDEX(Routes!$V$6:$V$9,$C95))+INDEX(Routes!$O$6:$O$9,$C95)+AO95+MIN(AC95*INDEX(Routes!$U$6:$U$9,$C95),INDEX(Routes!$W$6:$W$9,$C95))+IF(P95=1,INDEX(Routes!$N$6:$N$9,$C95)+AN95+MIN(AD95*INDEX(Routes!$T$6:$T$9,$C95),INDEX(Routes!$V$6:$V$9,$C95))+INDEX(Routes!$O$6:$O$9,$C95)+AO95+MIN(AD95*INDEX(Routes!$U$6:$U$9,$C95),INDEX(Routes!$W$6:$W$9,$C95)),0))*J95</f>
        <v>252779.975088</v>
      </c>
      <c r="AA95" s="67" t="n">
        <f aca="false">INDEX(Routes!$R$6:$R$9,$C95)+IF(P95=1,INDEX(Routes!$R$6:$R$9,$C95),INDEX(Routes!$S$6:$S$9,$C95))</f>
        <v>0</v>
      </c>
      <c r="AB95" s="67" t="n">
        <f aca="false">((R95*CO2_VLSFO+S95*CO2_MGO)*INDEX(Routes!$I$6:$I$9,$C95)+(U95*INDEX(Routes!$P$6:$P$9,$C95)+V95*INDEX(Routes!$Q$6:$Q$9,$C95))*ConsPort*CO2_MGO)*PhaseIn*K95*FX</f>
        <v>123936.40875</v>
      </c>
      <c r="AC95" s="71" t="n">
        <f aca="false">Capacity*G95</f>
        <v>34200</v>
      </c>
      <c r="AD95" s="71" t="n">
        <f aca="false">Capacity*H95</f>
        <v>18000</v>
      </c>
      <c r="AE95" s="82" t="n">
        <f aca="false">INDEX(Routes!$J$6:$J$9,$C95)*E95</f>
        <v>52</v>
      </c>
      <c r="AF95" s="82" t="n">
        <f aca="false">INDEX(Routes!$K$6:$K$9,$C95)*E95</f>
        <v>38</v>
      </c>
      <c r="AG95" s="67" t="n">
        <f aca="false">AC95*AE95+AD95*AF95</f>
        <v>2462400</v>
      </c>
      <c r="AH95" s="67" t="n">
        <f aca="false">AG95*Commission</f>
        <v>61560</v>
      </c>
      <c r="AI95" s="67" t="n">
        <f aca="false">Y95+Z95+AA95+AB95+MiscVoy</f>
        <v>1435788.383838</v>
      </c>
      <c r="AJ95" s="77" t="n">
        <f aca="false">N95+U95+V95+W95</f>
        <v>49.4074074074074</v>
      </c>
      <c r="AK95" s="94" t="n">
        <f aca="false">(AG95-AH95-AI95)/AJ95</f>
        <v>19532.5289627991</v>
      </c>
      <c r="AL95" s="67" t="n">
        <f aca="false">AG95-AH95-AI95-Benchmark*AJ95</f>
        <v>75718.282828667</v>
      </c>
      <c r="AM95" s="82" t="n">
        <f aca="false">IF(AC95&gt;0,((Benchmark*AJ95+AI95)/(1-Commission)-AD95*AF95)/AC95,0)</f>
        <v>49.7292462789424</v>
      </c>
      <c r="AN95" s="67" t="n">
        <f aca="false">LOA_ft*Port_Tariffs!$C$9*IF((INDEX(Routes!$L$6:$L$9,$C95)*INDEX(Routes!$X$6:$X$9,$C95)*F95)&lt;=2,(INDEX(Routes!$L$6:$L$9,$C95)*INDEX(Routes!$X$6:$X$9,$C95)*F95),IF((INDEX(Routes!$L$6:$L$9,$C95)*INDEX(Routes!$X$6:$X$9,$C95)*F95)&lt;=3,2+0.9*((INDEX(Routes!$L$6:$L$9,$C95)*INDEX(Routes!$X$6:$X$9,$C95)*F95)-2),IF((INDEX(Routes!$L$6:$L$9,$C95)*INDEX(Routes!$X$6:$X$9,$C95)*F95)&lt;=4,2.9+0.75*((INDEX(Routes!$L$6:$L$9,$C95)*INDEX(Routes!$X$6:$X$9,$C95)*F95)-3),IF((INDEX(Routes!$L$6:$L$9,$C95)*INDEX(Routes!$X$6:$X$9,$C95)*F95)&lt;=5,3.65+0.6*((INDEX(Routes!$L$6:$L$9,$C95)*INDEX(Routes!$X$6:$X$9,$C95)*F95)-4),4.25+0.5*((INDEX(Routes!$L$6:$L$9,$C95)*INDEX(Routes!$X$6:$X$9,$C95)*F95)-5)))))</f>
        <v>19557.6</v>
      </c>
      <c r="AO95" s="67" t="n">
        <f aca="false">LOA_ft*Port_Tariffs!$C$9*IF((INDEX(Routes!$M$6:$M$9,$C95)*INDEX(Routes!$Y$6:$Y$9,$C95)*F95)&lt;=2,(INDEX(Routes!$M$6:$M$9,$C95)*INDEX(Routes!$Y$6:$Y$9,$C95)*F95),IF((INDEX(Routes!$M$6:$M$9,$C95)*INDEX(Routes!$Y$6:$Y$9,$C95)*F95)&lt;=3,2+0.9*((INDEX(Routes!$M$6:$M$9,$C95)*INDEX(Routes!$Y$6:$Y$9,$C95)*F95)-2),IF((INDEX(Routes!$M$6:$M$9,$C95)*INDEX(Routes!$Y$6:$Y$9,$C95)*F95)&lt;=4,2.9+0.75*((INDEX(Routes!$M$6:$M$9,$C95)*INDEX(Routes!$Y$6:$Y$9,$C95)*F95)-3),IF((INDEX(Routes!$M$6:$M$9,$C95)*INDEX(Routes!$Y$6:$Y$9,$C95)*F95)&lt;=5,3.65+0.6*((INDEX(Routes!$M$6:$M$9,$C95)*INDEX(Routes!$Y$6:$Y$9,$C95)*F95)-4),4.25+0.5*((INDEX(Routes!$M$6:$M$9,$C95)*INDEX(Routes!$Y$6:$Y$9,$C95)*F95)-5)))))</f>
        <v>0</v>
      </c>
    </row>
    <row r="96" customFormat="false" ht="15" hidden="false" customHeight="false" outlineLevel="0" collapsed="false">
      <c r="A96" s="2" t="s">
        <v>591</v>
      </c>
      <c r="B96" s="2" t="s">
        <v>592</v>
      </c>
      <c r="C96" s="13" t="n">
        <v>1</v>
      </c>
      <c r="D96" s="70" t="n">
        <v>50</v>
      </c>
      <c r="E96" s="88" t="n">
        <f aca="false">FreightMult</f>
        <v>1</v>
      </c>
      <c r="F96" s="88" t="n">
        <f aca="false">PortMult</f>
        <v>1</v>
      </c>
      <c r="G96" s="89" t="n">
        <f aca="false">UtilFH</f>
        <v>0.85</v>
      </c>
      <c r="H96" s="89" t="n">
        <f aca="false">UtilBH</f>
        <v>0.5</v>
      </c>
      <c r="I96" s="90" t="n">
        <f aca="false">Speed</f>
        <v>13.5</v>
      </c>
      <c r="J96" s="88" t="n">
        <f aca="false">PortCostMult</f>
        <v>1</v>
      </c>
      <c r="K96" s="90" t="n">
        <f aca="false">EUA</f>
        <v>75</v>
      </c>
      <c r="L96" s="71" t="n">
        <f aca="false">INDEX(Routes!$E$6:$E$9,$C96)</f>
        <v>5000</v>
      </c>
      <c r="M96" s="72" t="n">
        <f aca="false">INDEX(Routes!$F$6:$F$9,$C96)/L96</f>
        <v>0.13</v>
      </c>
      <c r="N96" s="77" t="n">
        <f aca="false">2*L96*(1+SeaMargin)/(I96*24)</f>
        <v>32.4074074074074</v>
      </c>
      <c r="O96" s="84" t="n">
        <f aca="false">(I96/RefSpeed)^SpeedExp</f>
        <v>1</v>
      </c>
      <c r="P96" s="2" t="n">
        <f aca="false">IF(H96&gt;0,1,0)</f>
        <v>1</v>
      </c>
      <c r="Q96" s="71" t="n">
        <f aca="false">N96/2*O96*(ConsLaden+IF(P96=1,ConsLaden,ConsBallast))</f>
        <v>875</v>
      </c>
      <c r="R96" s="71" t="n">
        <f aca="false">Q96*(1-M96)</f>
        <v>761.25</v>
      </c>
      <c r="S96" s="71" t="n">
        <f aca="false">Q96*M96</f>
        <v>113.75</v>
      </c>
      <c r="T96" s="2" t="n">
        <f aca="false">1+P96</f>
        <v>2</v>
      </c>
      <c r="U96" s="77" t="n">
        <f aca="false">INDEX(Routes!$L$6:$L$9,$C96)*T96*F96</f>
        <v>10</v>
      </c>
      <c r="V96" s="77" t="n">
        <f aca="false">INDEX(Routes!$M$6:$M$9,$C96)*T96*F96</f>
        <v>7</v>
      </c>
      <c r="W96" s="77" t="n">
        <f aca="false">INDEX(Routes!$H$6:$H$9,$C96)*2</f>
        <v>0</v>
      </c>
      <c r="X96" s="71" t="n">
        <f aca="false">(U96+V96+W96)*ConsPort</f>
        <v>102</v>
      </c>
      <c r="Y96" s="67" t="n">
        <f aca="false">R96*D96*VLSFO_Mult+(S96+X96)*D96*MGO_Mult</f>
        <v>397720</v>
      </c>
      <c r="Z96" s="67" t="n">
        <f aca="false">(INDEX(Routes!$N$6:$N$9,$C96)+AN96+MIN(AC96*INDEX(Routes!$T$6:$T$9,$C96),INDEX(Routes!$V$6:$V$9,$C96))+INDEX(Routes!$O$6:$O$9,$C96)+AO96+MIN(AC96*INDEX(Routes!$U$6:$U$9,$C96),INDEX(Routes!$W$6:$W$9,$C96))+IF(P96=1,INDEX(Routes!$N$6:$N$9,$C96)+AN96+MIN(AD96*INDEX(Routes!$T$6:$T$9,$C96),INDEX(Routes!$V$6:$V$9,$C96))+INDEX(Routes!$O$6:$O$9,$C96)+AO96+MIN(AD96*INDEX(Routes!$U$6:$U$9,$C96),INDEX(Routes!$W$6:$W$9,$C96)),0))*J96</f>
        <v>252304.2096</v>
      </c>
      <c r="AA96" s="67" t="n">
        <f aca="false">INDEX(Routes!$R$6:$R$9,$C96)+IF(P96=1,INDEX(Routes!$R$6:$R$9,$C96),INDEX(Routes!$S$6:$S$9,$C96))</f>
        <v>0</v>
      </c>
      <c r="AB96" s="67" t="n">
        <f aca="false">((R96*CO2_VLSFO+S96*CO2_MGO)*INDEX(Routes!$I$6:$I$9,$C96)+(U96*INDEX(Routes!$P$6:$P$9,$C96)+V96*INDEX(Routes!$Q$6:$Q$9,$C96))*ConsPort*CO2_MGO)*PhaseIn*K96*FX</f>
        <v>123936.40875</v>
      </c>
      <c r="AC96" s="71" t="n">
        <f aca="false">Capacity*G96</f>
        <v>30600</v>
      </c>
      <c r="AD96" s="71" t="n">
        <f aca="false">Capacity*H96</f>
        <v>18000</v>
      </c>
      <c r="AE96" s="82" t="n">
        <f aca="false">INDEX(Routes!$J$6:$J$9,$C96)*E96</f>
        <v>52</v>
      </c>
      <c r="AF96" s="82" t="n">
        <f aca="false">INDEX(Routes!$K$6:$K$9,$C96)*E96</f>
        <v>38</v>
      </c>
      <c r="AG96" s="67" t="n">
        <f aca="false">AC96*AE96+AD96*AF96</f>
        <v>2275200</v>
      </c>
      <c r="AH96" s="67" t="n">
        <f aca="false">AG96*Commission</f>
        <v>56880</v>
      </c>
      <c r="AI96" s="67" t="n">
        <f aca="false">Y96+Z96+AA96+AB96+MiscVoy</f>
        <v>798960.61835</v>
      </c>
      <c r="AJ96" s="77" t="n">
        <f aca="false">N96+U96+V96+W96</f>
        <v>49.4074074074074</v>
      </c>
      <c r="AK96" s="94" t="n">
        <f aca="false">(AG96-AH96-AI96)/AJ96</f>
        <v>28727.6636465892</v>
      </c>
      <c r="AL96" s="67" t="n">
        <f aca="false">AG96-AH96-AI96-Benchmark*AJ96</f>
        <v>530026.048316667</v>
      </c>
      <c r="AM96" s="82" t="n">
        <f aca="false">IF(AC96&gt;0,((Benchmark*AJ96+AI96)/(1-Commission)-AD96*AF96)/AC96,0)</f>
        <v>34.2347562152952</v>
      </c>
      <c r="AN96" s="67" t="n">
        <f aca="false">LOA_ft*Port_Tariffs!$C$9*IF((INDEX(Routes!$L$6:$L$9,$C96)*INDEX(Routes!$X$6:$X$9,$C96)*F96)&lt;=2,(INDEX(Routes!$L$6:$L$9,$C96)*INDEX(Routes!$X$6:$X$9,$C96)*F96),IF((INDEX(Routes!$L$6:$L$9,$C96)*INDEX(Routes!$X$6:$X$9,$C96)*F96)&lt;=3,2+0.9*((INDEX(Routes!$L$6:$L$9,$C96)*INDEX(Routes!$X$6:$X$9,$C96)*F96)-2),IF((INDEX(Routes!$L$6:$L$9,$C96)*INDEX(Routes!$X$6:$X$9,$C96)*F96)&lt;=4,2.9+0.75*((INDEX(Routes!$L$6:$L$9,$C96)*INDEX(Routes!$X$6:$X$9,$C96)*F96)-3),IF((INDEX(Routes!$L$6:$L$9,$C96)*INDEX(Routes!$X$6:$X$9,$C96)*F96)&lt;=5,3.65+0.6*((INDEX(Routes!$L$6:$L$9,$C96)*INDEX(Routes!$X$6:$X$9,$C96)*F96)-4),4.25+0.5*((INDEX(Routes!$L$6:$L$9,$C96)*INDEX(Routes!$X$6:$X$9,$C96)*F96)-5)))))</f>
        <v>19557.6</v>
      </c>
      <c r="AO96" s="67" t="n">
        <f aca="false">LOA_ft*Port_Tariffs!$C$9*IF((INDEX(Routes!$M$6:$M$9,$C96)*INDEX(Routes!$Y$6:$Y$9,$C96)*F96)&lt;=2,(INDEX(Routes!$M$6:$M$9,$C96)*INDEX(Routes!$Y$6:$Y$9,$C96)*F96),IF((INDEX(Routes!$M$6:$M$9,$C96)*INDEX(Routes!$Y$6:$Y$9,$C96)*F96)&lt;=3,2+0.9*((INDEX(Routes!$M$6:$M$9,$C96)*INDEX(Routes!$Y$6:$Y$9,$C96)*F96)-2),IF((INDEX(Routes!$M$6:$M$9,$C96)*INDEX(Routes!$Y$6:$Y$9,$C96)*F96)&lt;=4,2.9+0.75*((INDEX(Routes!$M$6:$M$9,$C96)*INDEX(Routes!$Y$6:$Y$9,$C96)*F96)-3),IF((INDEX(Routes!$M$6:$M$9,$C96)*INDEX(Routes!$Y$6:$Y$9,$C96)*F96)&lt;=5,3.65+0.6*((INDEX(Routes!$M$6:$M$9,$C96)*INDEX(Routes!$Y$6:$Y$9,$C96)*F96)-4),4.25+0.5*((INDEX(Routes!$M$6:$M$9,$C96)*INDEX(Routes!$Y$6:$Y$9,$C96)*F96)-5)))))</f>
        <v>0</v>
      </c>
    </row>
    <row r="97" customFormat="false" ht="15" hidden="false" customHeight="false" outlineLevel="0" collapsed="false">
      <c r="A97" s="2" t="s">
        <v>593</v>
      </c>
      <c r="B97" s="2" t="s">
        <v>592</v>
      </c>
      <c r="C97" s="13" t="n">
        <v>1</v>
      </c>
      <c r="D97" s="70" t="n">
        <v>60</v>
      </c>
      <c r="E97" s="88" t="n">
        <f aca="false">FreightMult</f>
        <v>1</v>
      </c>
      <c r="F97" s="88" t="n">
        <f aca="false">PortMult</f>
        <v>1</v>
      </c>
      <c r="G97" s="89" t="n">
        <f aca="false">UtilFH</f>
        <v>0.85</v>
      </c>
      <c r="H97" s="89" t="n">
        <f aca="false">UtilBH</f>
        <v>0.5</v>
      </c>
      <c r="I97" s="90" t="n">
        <f aca="false">Speed</f>
        <v>13.5</v>
      </c>
      <c r="J97" s="88" t="n">
        <f aca="false">PortCostMult</f>
        <v>1</v>
      </c>
      <c r="K97" s="90" t="n">
        <f aca="false">EUA</f>
        <v>75</v>
      </c>
      <c r="L97" s="71" t="n">
        <f aca="false">INDEX(Routes!$E$6:$E$9,$C97)</f>
        <v>5000</v>
      </c>
      <c r="M97" s="72" t="n">
        <f aca="false">INDEX(Routes!$F$6:$F$9,$C97)/L97</f>
        <v>0.13</v>
      </c>
      <c r="N97" s="77" t="n">
        <f aca="false">2*L97*(1+SeaMargin)/(I97*24)</f>
        <v>32.4074074074074</v>
      </c>
      <c r="O97" s="84" t="n">
        <f aca="false">(I97/RefSpeed)^SpeedExp</f>
        <v>1</v>
      </c>
      <c r="P97" s="2" t="n">
        <f aca="false">IF(H97&gt;0,1,0)</f>
        <v>1</v>
      </c>
      <c r="Q97" s="71" t="n">
        <f aca="false">N97/2*O97*(ConsLaden+IF(P97=1,ConsLaden,ConsBallast))</f>
        <v>875</v>
      </c>
      <c r="R97" s="71" t="n">
        <f aca="false">Q97*(1-M97)</f>
        <v>761.25</v>
      </c>
      <c r="S97" s="71" t="n">
        <f aca="false">Q97*M97</f>
        <v>113.75</v>
      </c>
      <c r="T97" s="2" t="n">
        <f aca="false">1+P97</f>
        <v>2</v>
      </c>
      <c r="U97" s="77" t="n">
        <f aca="false">INDEX(Routes!$L$6:$L$9,$C97)*T97*F97</f>
        <v>10</v>
      </c>
      <c r="V97" s="77" t="n">
        <f aca="false">INDEX(Routes!$M$6:$M$9,$C97)*T97*F97</f>
        <v>7</v>
      </c>
      <c r="W97" s="77" t="n">
        <f aca="false">INDEX(Routes!$H$6:$H$9,$C97)*2</f>
        <v>0</v>
      </c>
      <c r="X97" s="71" t="n">
        <f aca="false">(U97+V97+W97)*ConsPort</f>
        <v>102</v>
      </c>
      <c r="Y97" s="67" t="n">
        <f aca="false">R97*D97*VLSFO_Mult+(S97+X97)*D97*MGO_Mult</f>
        <v>477264</v>
      </c>
      <c r="Z97" s="67" t="n">
        <f aca="false">(INDEX(Routes!$N$6:$N$9,$C97)+AN97+MIN(AC97*INDEX(Routes!$T$6:$T$9,$C97),INDEX(Routes!$V$6:$V$9,$C97))+INDEX(Routes!$O$6:$O$9,$C97)+AO97+MIN(AC97*INDEX(Routes!$U$6:$U$9,$C97),INDEX(Routes!$W$6:$W$9,$C97))+IF(P97=1,INDEX(Routes!$N$6:$N$9,$C97)+AN97+MIN(AD97*INDEX(Routes!$T$6:$T$9,$C97),INDEX(Routes!$V$6:$V$9,$C97))+INDEX(Routes!$O$6:$O$9,$C97)+AO97+MIN(AD97*INDEX(Routes!$U$6:$U$9,$C97),INDEX(Routes!$W$6:$W$9,$C97)),0))*J97</f>
        <v>252304.2096</v>
      </c>
      <c r="AA97" s="67" t="n">
        <f aca="false">INDEX(Routes!$R$6:$R$9,$C97)+IF(P97=1,INDEX(Routes!$R$6:$R$9,$C97),INDEX(Routes!$S$6:$S$9,$C97))</f>
        <v>0</v>
      </c>
      <c r="AB97" s="67" t="n">
        <f aca="false">((R97*CO2_VLSFO+S97*CO2_MGO)*INDEX(Routes!$I$6:$I$9,$C97)+(U97*INDEX(Routes!$P$6:$P$9,$C97)+V97*INDEX(Routes!$Q$6:$Q$9,$C97))*ConsPort*CO2_MGO)*PhaseIn*K97*FX</f>
        <v>123936.40875</v>
      </c>
      <c r="AC97" s="71" t="n">
        <f aca="false">Capacity*G97</f>
        <v>30600</v>
      </c>
      <c r="AD97" s="71" t="n">
        <f aca="false">Capacity*H97</f>
        <v>18000</v>
      </c>
      <c r="AE97" s="82" t="n">
        <f aca="false">INDEX(Routes!$J$6:$J$9,$C97)*E97</f>
        <v>52</v>
      </c>
      <c r="AF97" s="82" t="n">
        <f aca="false">INDEX(Routes!$K$6:$K$9,$C97)*E97</f>
        <v>38</v>
      </c>
      <c r="AG97" s="67" t="n">
        <f aca="false">AC97*AE97+AD97*AF97</f>
        <v>2275200</v>
      </c>
      <c r="AH97" s="67" t="n">
        <f aca="false">AG97*Commission</f>
        <v>56880</v>
      </c>
      <c r="AI97" s="67" t="n">
        <f aca="false">Y97+Z97+AA97+AB97+MiscVoy</f>
        <v>878504.61835</v>
      </c>
      <c r="AJ97" s="77" t="n">
        <f aca="false">N97+U97+V97+W97</f>
        <v>49.4074074074074</v>
      </c>
      <c r="AK97" s="94" t="n">
        <f aca="false">(AG97-AH97-AI97)/AJ97</f>
        <v>27117.702627099</v>
      </c>
      <c r="AL97" s="67" t="n">
        <f aca="false">AG97-AH97-AI97-Benchmark*AJ97</f>
        <v>450482.048316667</v>
      </c>
      <c r="AM97" s="82" t="n">
        <f aca="false">IF(AC97&gt;0,((Benchmark*AJ97+AI97)/(1-Commission)-AD97*AF97)/AC97,0)</f>
        <v>36.9008865990727</v>
      </c>
      <c r="AN97" s="67" t="n">
        <f aca="false">LOA_ft*Port_Tariffs!$C$9*IF((INDEX(Routes!$L$6:$L$9,$C97)*INDEX(Routes!$X$6:$X$9,$C97)*F97)&lt;=2,(INDEX(Routes!$L$6:$L$9,$C97)*INDEX(Routes!$X$6:$X$9,$C97)*F97),IF((INDEX(Routes!$L$6:$L$9,$C97)*INDEX(Routes!$X$6:$X$9,$C97)*F97)&lt;=3,2+0.9*((INDEX(Routes!$L$6:$L$9,$C97)*INDEX(Routes!$X$6:$X$9,$C97)*F97)-2),IF((INDEX(Routes!$L$6:$L$9,$C97)*INDEX(Routes!$X$6:$X$9,$C97)*F97)&lt;=4,2.9+0.75*((INDEX(Routes!$L$6:$L$9,$C97)*INDEX(Routes!$X$6:$X$9,$C97)*F97)-3),IF((INDEX(Routes!$L$6:$L$9,$C97)*INDEX(Routes!$X$6:$X$9,$C97)*F97)&lt;=5,3.65+0.6*((INDEX(Routes!$L$6:$L$9,$C97)*INDEX(Routes!$X$6:$X$9,$C97)*F97)-4),4.25+0.5*((INDEX(Routes!$L$6:$L$9,$C97)*INDEX(Routes!$X$6:$X$9,$C97)*F97)-5)))))</f>
        <v>19557.6</v>
      </c>
      <c r="AO97" s="67" t="n">
        <f aca="false">LOA_ft*Port_Tariffs!$C$9*IF((INDEX(Routes!$M$6:$M$9,$C97)*INDEX(Routes!$Y$6:$Y$9,$C97)*F97)&lt;=2,(INDEX(Routes!$M$6:$M$9,$C97)*INDEX(Routes!$Y$6:$Y$9,$C97)*F97),IF((INDEX(Routes!$M$6:$M$9,$C97)*INDEX(Routes!$Y$6:$Y$9,$C97)*F97)&lt;=3,2+0.9*((INDEX(Routes!$M$6:$M$9,$C97)*INDEX(Routes!$Y$6:$Y$9,$C97)*F97)-2),IF((INDEX(Routes!$M$6:$M$9,$C97)*INDEX(Routes!$Y$6:$Y$9,$C97)*F97)&lt;=4,2.9+0.75*((INDEX(Routes!$M$6:$M$9,$C97)*INDEX(Routes!$Y$6:$Y$9,$C97)*F97)-3),IF((INDEX(Routes!$M$6:$M$9,$C97)*INDEX(Routes!$Y$6:$Y$9,$C97)*F97)&lt;=5,3.65+0.6*((INDEX(Routes!$M$6:$M$9,$C97)*INDEX(Routes!$Y$6:$Y$9,$C97)*F97)-4),4.25+0.5*((INDEX(Routes!$M$6:$M$9,$C97)*INDEX(Routes!$Y$6:$Y$9,$C97)*F97)-5)))))</f>
        <v>0</v>
      </c>
    </row>
    <row r="98" customFormat="false" ht="15" hidden="false" customHeight="false" outlineLevel="0" collapsed="false">
      <c r="A98" s="2" t="s">
        <v>594</v>
      </c>
      <c r="B98" s="2" t="s">
        <v>592</v>
      </c>
      <c r="C98" s="13" t="n">
        <v>1</v>
      </c>
      <c r="D98" s="70" t="n">
        <v>70</v>
      </c>
      <c r="E98" s="88" t="n">
        <f aca="false">FreightMult</f>
        <v>1</v>
      </c>
      <c r="F98" s="88" t="n">
        <f aca="false">PortMult</f>
        <v>1</v>
      </c>
      <c r="G98" s="89" t="n">
        <f aca="false">UtilFH</f>
        <v>0.85</v>
      </c>
      <c r="H98" s="89" t="n">
        <f aca="false">UtilBH</f>
        <v>0.5</v>
      </c>
      <c r="I98" s="90" t="n">
        <f aca="false">Speed</f>
        <v>13.5</v>
      </c>
      <c r="J98" s="88" t="n">
        <f aca="false">PortCostMult</f>
        <v>1</v>
      </c>
      <c r="K98" s="90" t="n">
        <f aca="false">EUA</f>
        <v>75</v>
      </c>
      <c r="L98" s="71" t="n">
        <f aca="false">INDEX(Routes!$E$6:$E$9,$C98)</f>
        <v>5000</v>
      </c>
      <c r="M98" s="72" t="n">
        <f aca="false">INDEX(Routes!$F$6:$F$9,$C98)/L98</f>
        <v>0.13</v>
      </c>
      <c r="N98" s="77" t="n">
        <f aca="false">2*L98*(1+SeaMargin)/(I98*24)</f>
        <v>32.4074074074074</v>
      </c>
      <c r="O98" s="84" t="n">
        <f aca="false">(I98/RefSpeed)^SpeedExp</f>
        <v>1</v>
      </c>
      <c r="P98" s="2" t="n">
        <f aca="false">IF(H98&gt;0,1,0)</f>
        <v>1</v>
      </c>
      <c r="Q98" s="71" t="n">
        <f aca="false">N98/2*O98*(ConsLaden+IF(P98=1,ConsLaden,ConsBallast))</f>
        <v>875</v>
      </c>
      <c r="R98" s="71" t="n">
        <f aca="false">Q98*(1-M98)</f>
        <v>761.25</v>
      </c>
      <c r="S98" s="71" t="n">
        <f aca="false">Q98*M98</f>
        <v>113.75</v>
      </c>
      <c r="T98" s="2" t="n">
        <f aca="false">1+P98</f>
        <v>2</v>
      </c>
      <c r="U98" s="77" t="n">
        <f aca="false">INDEX(Routes!$L$6:$L$9,$C98)*T98*F98</f>
        <v>10</v>
      </c>
      <c r="V98" s="77" t="n">
        <f aca="false">INDEX(Routes!$M$6:$M$9,$C98)*T98*F98</f>
        <v>7</v>
      </c>
      <c r="W98" s="77" t="n">
        <f aca="false">INDEX(Routes!$H$6:$H$9,$C98)*2</f>
        <v>0</v>
      </c>
      <c r="X98" s="71" t="n">
        <f aca="false">(U98+V98+W98)*ConsPort</f>
        <v>102</v>
      </c>
      <c r="Y98" s="67" t="n">
        <f aca="false">R98*D98*VLSFO_Mult+(S98+X98)*D98*MGO_Mult</f>
        <v>556808</v>
      </c>
      <c r="Z98" s="67" t="n">
        <f aca="false">(INDEX(Routes!$N$6:$N$9,$C98)+AN98+MIN(AC98*INDEX(Routes!$T$6:$T$9,$C98),INDEX(Routes!$V$6:$V$9,$C98))+INDEX(Routes!$O$6:$O$9,$C98)+AO98+MIN(AC98*INDEX(Routes!$U$6:$U$9,$C98),INDEX(Routes!$W$6:$W$9,$C98))+IF(P98=1,INDEX(Routes!$N$6:$N$9,$C98)+AN98+MIN(AD98*INDEX(Routes!$T$6:$T$9,$C98),INDEX(Routes!$V$6:$V$9,$C98))+INDEX(Routes!$O$6:$O$9,$C98)+AO98+MIN(AD98*INDEX(Routes!$U$6:$U$9,$C98),INDEX(Routes!$W$6:$W$9,$C98)),0))*J98</f>
        <v>252304.2096</v>
      </c>
      <c r="AA98" s="67" t="n">
        <f aca="false">INDEX(Routes!$R$6:$R$9,$C98)+IF(P98=1,INDEX(Routes!$R$6:$R$9,$C98),INDEX(Routes!$S$6:$S$9,$C98))</f>
        <v>0</v>
      </c>
      <c r="AB98" s="67" t="n">
        <f aca="false">((R98*CO2_VLSFO+S98*CO2_MGO)*INDEX(Routes!$I$6:$I$9,$C98)+(U98*INDEX(Routes!$P$6:$P$9,$C98)+V98*INDEX(Routes!$Q$6:$Q$9,$C98))*ConsPort*CO2_MGO)*PhaseIn*K98*FX</f>
        <v>123936.40875</v>
      </c>
      <c r="AC98" s="71" t="n">
        <f aca="false">Capacity*G98</f>
        <v>30600</v>
      </c>
      <c r="AD98" s="71" t="n">
        <f aca="false">Capacity*H98</f>
        <v>18000</v>
      </c>
      <c r="AE98" s="82" t="n">
        <f aca="false">INDEX(Routes!$J$6:$J$9,$C98)*E98</f>
        <v>52</v>
      </c>
      <c r="AF98" s="82" t="n">
        <f aca="false">INDEX(Routes!$K$6:$K$9,$C98)*E98</f>
        <v>38</v>
      </c>
      <c r="AG98" s="67" t="n">
        <f aca="false">AC98*AE98+AD98*AF98</f>
        <v>2275200</v>
      </c>
      <c r="AH98" s="67" t="n">
        <f aca="false">AG98*Commission</f>
        <v>56880</v>
      </c>
      <c r="AI98" s="67" t="n">
        <f aca="false">Y98+Z98+AA98+AB98+MiscVoy</f>
        <v>958048.61835</v>
      </c>
      <c r="AJ98" s="77" t="n">
        <f aca="false">N98+U98+V98+W98</f>
        <v>49.4074074074074</v>
      </c>
      <c r="AK98" s="94" t="n">
        <f aca="false">(AG98-AH98-AI98)/AJ98</f>
        <v>25507.7416076087</v>
      </c>
      <c r="AL98" s="67" t="n">
        <f aca="false">AG98-AH98-AI98-Benchmark*AJ98</f>
        <v>370938.048316667</v>
      </c>
      <c r="AM98" s="82" t="n">
        <f aca="false">IF(AC98&gt;0,((Benchmark*AJ98+AI98)/(1-Commission)-AD98*AF98)/AC98,0)</f>
        <v>39.5670169828501</v>
      </c>
      <c r="AN98" s="67" t="n">
        <f aca="false">LOA_ft*Port_Tariffs!$C$9*IF((INDEX(Routes!$L$6:$L$9,$C98)*INDEX(Routes!$X$6:$X$9,$C98)*F98)&lt;=2,(INDEX(Routes!$L$6:$L$9,$C98)*INDEX(Routes!$X$6:$X$9,$C98)*F98),IF((INDEX(Routes!$L$6:$L$9,$C98)*INDEX(Routes!$X$6:$X$9,$C98)*F98)&lt;=3,2+0.9*((INDEX(Routes!$L$6:$L$9,$C98)*INDEX(Routes!$X$6:$X$9,$C98)*F98)-2),IF((INDEX(Routes!$L$6:$L$9,$C98)*INDEX(Routes!$X$6:$X$9,$C98)*F98)&lt;=4,2.9+0.75*((INDEX(Routes!$L$6:$L$9,$C98)*INDEX(Routes!$X$6:$X$9,$C98)*F98)-3),IF((INDEX(Routes!$L$6:$L$9,$C98)*INDEX(Routes!$X$6:$X$9,$C98)*F98)&lt;=5,3.65+0.6*((INDEX(Routes!$L$6:$L$9,$C98)*INDEX(Routes!$X$6:$X$9,$C98)*F98)-4),4.25+0.5*((INDEX(Routes!$L$6:$L$9,$C98)*INDEX(Routes!$X$6:$X$9,$C98)*F98)-5)))))</f>
        <v>19557.6</v>
      </c>
      <c r="AO98" s="67" t="n">
        <f aca="false">LOA_ft*Port_Tariffs!$C$9*IF((INDEX(Routes!$M$6:$M$9,$C98)*INDEX(Routes!$Y$6:$Y$9,$C98)*F98)&lt;=2,(INDEX(Routes!$M$6:$M$9,$C98)*INDEX(Routes!$Y$6:$Y$9,$C98)*F98),IF((INDEX(Routes!$M$6:$M$9,$C98)*INDEX(Routes!$Y$6:$Y$9,$C98)*F98)&lt;=3,2+0.9*((INDEX(Routes!$M$6:$M$9,$C98)*INDEX(Routes!$Y$6:$Y$9,$C98)*F98)-2),IF((INDEX(Routes!$M$6:$M$9,$C98)*INDEX(Routes!$Y$6:$Y$9,$C98)*F98)&lt;=4,2.9+0.75*((INDEX(Routes!$M$6:$M$9,$C98)*INDEX(Routes!$Y$6:$Y$9,$C98)*F98)-3),IF((INDEX(Routes!$M$6:$M$9,$C98)*INDEX(Routes!$Y$6:$Y$9,$C98)*F98)&lt;=5,3.65+0.6*((INDEX(Routes!$M$6:$M$9,$C98)*INDEX(Routes!$Y$6:$Y$9,$C98)*F98)-4),4.25+0.5*((INDEX(Routes!$M$6:$M$9,$C98)*INDEX(Routes!$Y$6:$Y$9,$C98)*F98)-5)))))</f>
        <v>0</v>
      </c>
    </row>
    <row r="99" customFormat="false" ht="15" hidden="false" customHeight="false" outlineLevel="0" collapsed="false">
      <c r="A99" s="2" t="s">
        <v>595</v>
      </c>
      <c r="B99" s="2" t="s">
        <v>592</v>
      </c>
      <c r="C99" s="13" t="n">
        <v>1</v>
      </c>
      <c r="D99" s="70" t="n">
        <v>80</v>
      </c>
      <c r="E99" s="88" t="n">
        <f aca="false">FreightMult</f>
        <v>1</v>
      </c>
      <c r="F99" s="88" t="n">
        <f aca="false">PortMult</f>
        <v>1</v>
      </c>
      <c r="G99" s="89" t="n">
        <f aca="false">UtilFH</f>
        <v>0.85</v>
      </c>
      <c r="H99" s="89" t="n">
        <f aca="false">UtilBH</f>
        <v>0.5</v>
      </c>
      <c r="I99" s="90" t="n">
        <f aca="false">Speed</f>
        <v>13.5</v>
      </c>
      <c r="J99" s="88" t="n">
        <f aca="false">PortCostMult</f>
        <v>1</v>
      </c>
      <c r="K99" s="90" t="n">
        <f aca="false">EUA</f>
        <v>75</v>
      </c>
      <c r="L99" s="71" t="n">
        <f aca="false">INDEX(Routes!$E$6:$E$9,$C99)</f>
        <v>5000</v>
      </c>
      <c r="M99" s="72" t="n">
        <f aca="false">INDEX(Routes!$F$6:$F$9,$C99)/L99</f>
        <v>0.13</v>
      </c>
      <c r="N99" s="77" t="n">
        <f aca="false">2*L99*(1+SeaMargin)/(I99*24)</f>
        <v>32.4074074074074</v>
      </c>
      <c r="O99" s="84" t="n">
        <f aca="false">(I99/RefSpeed)^SpeedExp</f>
        <v>1</v>
      </c>
      <c r="P99" s="2" t="n">
        <f aca="false">IF(H99&gt;0,1,0)</f>
        <v>1</v>
      </c>
      <c r="Q99" s="71" t="n">
        <f aca="false">N99/2*O99*(ConsLaden+IF(P99=1,ConsLaden,ConsBallast))</f>
        <v>875</v>
      </c>
      <c r="R99" s="71" t="n">
        <f aca="false">Q99*(1-M99)</f>
        <v>761.25</v>
      </c>
      <c r="S99" s="71" t="n">
        <f aca="false">Q99*M99</f>
        <v>113.75</v>
      </c>
      <c r="T99" s="2" t="n">
        <f aca="false">1+P99</f>
        <v>2</v>
      </c>
      <c r="U99" s="77" t="n">
        <f aca="false">INDEX(Routes!$L$6:$L$9,$C99)*T99*F99</f>
        <v>10</v>
      </c>
      <c r="V99" s="77" t="n">
        <f aca="false">INDEX(Routes!$M$6:$M$9,$C99)*T99*F99</f>
        <v>7</v>
      </c>
      <c r="W99" s="77" t="n">
        <f aca="false">INDEX(Routes!$H$6:$H$9,$C99)*2</f>
        <v>0</v>
      </c>
      <c r="X99" s="71" t="n">
        <f aca="false">(U99+V99+W99)*ConsPort</f>
        <v>102</v>
      </c>
      <c r="Y99" s="67" t="n">
        <f aca="false">R99*D99*VLSFO_Mult+(S99+X99)*D99*MGO_Mult</f>
        <v>636352</v>
      </c>
      <c r="Z99" s="67" t="n">
        <f aca="false">(INDEX(Routes!$N$6:$N$9,$C99)+AN99+MIN(AC99*INDEX(Routes!$T$6:$T$9,$C99),INDEX(Routes!$V$6:$V$9,$C99))+INDEX(Routes!$O$6:$O$9,$C99)+AO99+MIN(AC99*INDEX(Routes!$U$6:$U$9,$C99),INDEX(Routes!$W$6:$W$9,$C99))+IF(P99=1,INDEX(Routes!$N$6:$N$9,$C99)+AN99+MIN(AD99*INDEX(Routes!$T$6:$T$9,$C99),INDEX(Routes!$V$6:$V$9,$C99))+INDEX(Routes!$O$6:$O$9,$C99)+AO99+MIN(AD99*INDEX(Routes!$U$6:$U$9,$C99),INDEX(Routes!$W$6:$W$9,$C99)),0))*J99</f>
        <v>252304.2096</v>
      </c>
      <c r="AA99" s="67" t="n">
        <f aca="false">INDEX(Routes!$R$6:$R$9,$C99)+IF(P99=1,INDEX(Routes!$R$6:$R$9,$C99),INDEX(Routes!$S$6:$S$9,$C99))</f>
        <v>0</v>
      </c>
      <c r="AB99" s="67" t="n">
        <f aca="false">((R99*CO2_VLSFO+S99*CO2_MGO)*INDEX(Routes!$I$6:$I$9,$C99)+(U99*INDEX(Routes!$P$6:$P$9,$C99)+V99*INDEX(Routes!$Q$6:$Q$9,$C99))*ConsPort*CO2_MGO)*PhaseIn*K99*FX</f>
        <v>123936.40875</v>
      </c>
      <c r="AC99" s="71" t="n">
        <f aca="false">Capacity*G99</f>
        <v>30600</v>
      </c>
      <c r="AD99" s="71" t="n">
        <f aca="false">Capacity*H99</f>
        <v>18000</v>
      </c>
      <c r="AE99" s="82" t="n">
        <f aca="false">INDEX(Routes!$J$6:$J$9,$C99)*E99</f>
        <v>52</v>
      </c>
      <c r="AF99" s="82" t="n">
        <f aca="false">INDEX(Routes!$K$6:$K$9,$C99)*E99</f>
        <v>38</v>
      </c>
      <c r="AG99" s="67" t="n">
        <f aca="false">AC99*AE99+AD99*AF99</f>
        <v>2275200</v>
      </c>
      <c r="AH99" s="67" t="n">
        <f aca="false">AG99*Commission</f>
        <v>56880</v>
      </c>
      <c r="AI99" s="67" t="n">
        <f aca="false">Y99+Z99+AA99+AB99+MiscVoy</f>
        <v>1037592.61835</v>
      </c>
      <c r="AJ99" s="77" t="n">
        <f aca="false">N99+U99+V99+W99</f>
        <v>49.4074074074074</v>
      </c>
      <c r="AK99" s="94" t="n">
        <f aca="false">(AG99-AH99-AI99)/AJ99</f>
        <v>23897.7805881184</v>
      </c>
      <c r="AL99" s="67" t="n">
        <f aca="false">AG99-AH99-AI99-Benchmark*AJ99</f>
        <v>291394.048316667</v>
      </c>
      <c r="AM99" s="82" t="n">
        <f aca="false">IF(AC99&gt;0,((Benchmark*AJ99+AI99)/(1-Commission)-AD99*AF99)/AC99,0)</f>
        <v>42.2331473666276</v>
      </c>
      <c r="AN99" s="67" t="n">
        <f aca="false">LOA_ft*Port_Tariffs!$C$9*IF((INDEX(Routes!$L$6:$L$9,$C99)*INDEX(Routes!$X$6:$X$9,$C99)*F99)&lt;=2,(INDEX(Routes!$L$6:$L$9,$C99)*INDEX(Routes!$X$6:$X$9,$C99)*F99),IF((INDEX(Routes!$L$6:$L$9,$C99)*INDEX(Routes!$X$6:$X$9,$C99)*F99)&lt;=3,2+0.9*((INDEX(Routes!$L$6:$L$9,$C99)*INDEX(Routes!$X$6:$X$9,$C99)*F99)-2),IF((INDEX(Routes!$L$6:$L$9,$C99)*INDEX(Routes!$X$6:$X$9,$C99)*F99)&lt;=4,2.9+0.75*((INDEX(Routes!$L$6:$L$9,$C99)*INDEX(Routes!$X$6:$X$9,$C99)*F99)-3),IF((INDEX(Routes!$L$6:$L$9,$C99)*INDEX(Routes!$X$6:$X$9,$C99)*F99)&lt;=5,3.65+0.6*((INDEX(Routes!$L$6:$L$9,$C99)*INDEX(Routes!$X$6:$X$9,$C99)*F99)-4),4.25+0.5*((INDEX(Routes!$L$6:$L$9,$C99)*INDEX(Routes!$X$6:$X$9,$C99)*F99)-5)))))</f>
        <v>19557.6</v>
      </c>
      <c r="AO99" s="67" t="n">
        <f aca="false">LOA_ft*Port_Tariffs!$C$9*IF((INDEX(Routes!$M$6:$M$9,$C99)*INDEX(Routes!$Y$6:$Y$9,$C99)*F99)&lt;=2,(INDEX(Routes!$M$6:$M$9,$C99)*INDEX(Routes!$Y$6:$Y$9,$C99)*F99),IF((INDEX(Routes!$M$6:$M$9,$C99)*INDEX(Routes!$Y$6:$Y$9,$C99)*F99)&lt;=3,2+0.9*((INDEX(Routes!$M$6:$M$9,$C99)*INDEX(Routes!$Y$6:$Y$9,$C99)*F99)-2),IF((INDEX(Routes!$M$6:$M$9,$C99)*INDEX(Routes!$Y$6:$Y$9,$C99)*F99)&lt;=4,2.9+0.75*((INDEX(Routes!$M$6:$M$9,$C99)*INDEX(Routes!$Y$6:$Y$9,$C99)*F99)-3),IF((INDEX(Routes!$M$6:$M$9,$C99)*INDEX(Routes!$Y$6:$Y$9,$C99)*F99)&lt;=5,3.65+0.6*((INDEX(Routes!$M$6:$M$9,$C99)*INDEX(Routes!$Y$6:$Y$9,$C99)*F99)-4),4.25+0.5*((INDEX(Routes!$M$6:$M$9,$C99)*INDEX(Routes!$Y$6:$Y$9,$C99)*F99)-5)))))</f>
        <v>0</v>
      </c>
    </row>
    <row r="100" customFormat="false" ht="15" hidden="false" customHeight="false" outlineLevel="0" collapsed="false">
      <c r="A100" s="2" t="s">
        <v>596</v>
      </c>
      <c r="B100" s="2" t="s">
        <v>592</v>
      </c>
      <c r="C100" s="13" t="n">
        <v>1</v>
      </c>
      <c r="D100" s="70" t="n">
        <v>90</v>
      </c>
      <c r="E100" s="88" t="n">
        <f aca="false">FreightMult</f>
        <v>1</v>
      </c>
      <c r="F100" s="88" t="n">
        <f aca="false">PortMult</f>
        <v>1</v>
      </c>
      <c r="G100" s="89" t="n">
        <f aca="false">UtilFH</f>
        <v>0.85</v>
      </c>
      <c r="H100" s="89" t="n">
        <f aca="false">UtilBH</f>
        <v>0.5</v>
      </c>
      <c r="I100" s="90" t="n">
        <f aca="false">Speed</f>
        <v>13.5</v>
      </c>
      <c r="J100" s="88" t="n">
        <f aca="false">PortCostMult</f>
        <v>1</v>
      </c>
      <c r="K100" s="90" t="n">
        <f aca="false">EUA</f>
        <v>75</v>
      </c>
      <c r="L100" s="71" t="n">
        <f aca="false">INDEX(Routes!$E$6:$E$9,$C100)</f>
        <v>5000</v>
      </c>
      <c r="M100" s="72" t="n">
        <f aca="false">INDEX(Routes!$F$6:$F$9,$C100)/L100</f>
        <v>0.13</v>
      </c>
      <c r="N100" s="77" t="n">
        <f aca="false">2*L100*(1+SeaMargin)/(I100*24)</f>
        <v>32.4074074074074</v>
      </c>
      <c r="O100" s="84" t="n">
        <f aca="false">(I100/RefSpeed)^SpeedExp</f>
        <v>1</v>
      </c>
      <c r="P100" s="2" t="n">
        <f aca="false">IF(H100&gt;0,1,0)</f>
        <v>1</v>
      </c>
      <c r="Q100" s="71" t="n">
        <f aca="false">N100/2*O100*(ConsLaden+IF(P100=1,ConsLaden,ConsBallast))</f>
        <v>875</v>
      </c>
      <c r="R100" s="71" t="n">
        <f aca="false">Q100*(1-M100)</f>
        <v>761.25</v>
      </c>
      <c r="S100" s="71" t="n">
        <f aca="false">Q100*M100</f>
        <v>113.75</v>
      </c>
      <c r="T100" s="2" t="n">
        <f aca="false">1+P100</f>
        <v>2</v>
      </c>
      <c r="U100" s="77" t="n">
        <f aca="false">INDEX(Routes!$L$6:$L$9,$C100)*T100*F100</f>
        <v>10</v>
      </c>
      <c r="V100" s="77" t="n">
        <f aca="false">INDEX(Routes!$M$6:$M$9,$C100)*T100*F100</f>
        <v>7</v>
      </c>
      <c r="W100" s="77" t="n">
        <f aca="false">INDEX(Routes!$H$6:$H$9,$C100)*2</f>
        <v>0</v>
      </c>
      <c r="X100" s="71" t="n">
        <f aca="false">(U100+V100+W100)*ConsPort</f>
        <v>102</v>
      </c>
      <c r="Y100" s="67" t="n">
        <f aca="false">R100*D100*VLSFO_Mult+(S100+X100)*D100*MGO_Mult</f>
        <v>715896</v>
      </c>
      <c r="Z100" s="67" t="n">
        <f aca="false">(INDEX(Routes!$N$6:$N$9,$C100)+AN100+MIN(AC100*INDEX(Routes!$T$6:$T$9,$C100),INDEX(Routes!$V$6:$V$9,$C100))+INDEX(Routes!$O$6:$O$9,$C100)+AO100+MIN(AC100*INDEX(Routes!$U$6:$U$9,$C100),INDEX(Routes!$W$6:$W$9,$C100))+IF(P100=1,INDEX(Routes!$N$6:$N$9,$C100)+AN100+MIN(AD100*INDEX(Routes!$T$6:$T$9,$C100),INDEX(Routes!$V$6:$V$9,$C100))+INDEX(Routes!$O$6:$O$9,$C100)+AO100+MIN(AD100*INDEX(Routes!$U$6:$U$9,$C100),INDEX(Routes!$W$6:$W$9,$C100)),0))*J100</f>
        <v>252304.2096</v>
      </c>
      <c r="AA100" s="67" t="n">
        <f aca="false">INDEX(Routes!$R$6:$R$9,$C100)+IF(P100=1,INDEX(Routes!$R$6:$R$9,$C100),INDEX(Routes!$S$6:$S$9,$C100))</f>
        <v>0</v>
      </c>
      <c r="AB100" s="67" t="n">
        <f aca="false">((R100*CO2_VLSFO+S100*CO2_MGO)*INDEX(Routes!$I$6:$I$9,$C100)+(U100*INDEX(Routes!$P$6:$P$9,$C100)+V100*INDEX(Routes!$Q$6:$Q$9,$C100))*ConsPort*CO2_MGO)*PhaseIn*K100*FX</f>
        <v>123936.40875</v>
      </c>
      <c r="AC100" s="71" t="n">
        <f aca="false">Capacity*G100</f>
        <v>30600</v>
      </c>
      <c r="AD100" s="71" t="n">
        <f aca="false">Capacity*H100</f>
        <v>18000</v>
      </c>
      <c r="AE100" s="82" t="n">
        <f aca="false">INDEX(Routes!$J$6:$J$9,$C100)*E100</f>
        <v>52</v>
      </c>
      <c r="AF100" s="82" t="n">
        <f aca="false">INDEX(Routes!$K$6:$K$9,$C100)*E100</f>
        <v>38</v>
      </c>
      <c r="AG100" s="67" t="n">
        <f aca="false">AC100*AE100+AD100*AF100</f>
        <v>2275200</v>
      </c>
      <c r="AH100" s="67" t="n">
        <f aca="false">AG100*Commission</f>
        <v>56880</v>
      </c>
      <c r="AI100" s="67" t="n">
        <f aca="false">Y100+Z100+AA100+AB100+MiscVoy</f>
        <v>1117136.61835</v>
      </c>
      <c r="AJ100" s="77" t="n">
        <f aca="false">N100+U100+V100+W100</f>
        <v>49.4074074074074</v>
      </c>
      <c r="AK100" s="94" t="n">
        <f aca="false">(AG100-AH100-AI100)/AJ100</f>
        <v>22287.8195686282</v>
      </c>
      <c r="AL100" s="67" t="n">
        <f aca="false">AG100-AH100-AI100-Benchmark*AJ100</f>
        <v>211850.048316667</v>
      </c>
      <c r="AM100" s="82" t="n">
        <f aca="false">IF(AC100&gt;0,((Benchmark*AJ100+AI100)/(1-Commission)-AD100*AF100)/AC100,0)</f>
        <v>44.899277750405</v>
      </c>
      <c r="AN100" s="67" t="n">
        <f aca="false">LOA_ft*Port_Tariffs!$C$9*IF((INDEX(Routes!$L$6:$L$9,$C100)*INDEX(Routes!$X$6:$X$9,$C100)*F100)&lt;=2,(INDEX(Routes!$L$6:$L$9,$C100)*INDEX(Routes!$X$6:$X$9,$C100)*F100),IF((INDEX(Routes!$L$6:$L$9,$C100)*INDEX(Routes!$X$6:$X$9,$C100)*F100)&lt;=3,2+0.9*((INDEX(Routes!$L$6:$L$9,$C100)*INDEX(Routes!$X$6:$X$9,$C100)*F100)-2),IF((INDEX(Routes!$L$6:$L$9,$C100)*INDEX(Routes!$X$6:$X$9,$C100)*F100)&lt;=4,2.9+0.75*((INDEX(Routes!$L$6:$L$9,$C100)*INDEX(Routes!$X$6:$X$9,$C100)*F100)-3),IF((INDEX(Routes!$L$6:$L$9,$C100)*INDEX(Routes!$X$6:$X$9,$C100)*F100)&lt;=5,3.65+0.6*((INDEX(Routes!$L$6:$L$9,$C100)*INDEX(Routes!$X$6:$X$9,$C100)*F100)-4),4.25+0.5*((INDEX(Routes!$L$6:$L$9,$C100)*INDEX(Routes!$X$6:$X$9,$C100)*F100)-5)))))</f>
        <v>19557.6</v>
      </c>
      <c r="AO100" s="67" t="n">
        <f aca="false">LOA_ft*Port_Tariffs!$C$9*IF((INDEX(Routes!$M$6:$M$9,$C100)*INDEX(Routes!$Y$6:$Y$9,$C100)*F100)&lt;=2,(INDEX(Routes!$M$6:$M$9,$C100)*INDEX(Routes!$Y$6:$Y$9,$C100)*F100),IF((INDEX(Routes!$M$6:$M$9,$C100)*INDEX(Routes!$Y$6:$Y$9,$C100)*F100)&lt;=3,2+0.9*((INDEX(Routes!$M$6:$M$9,$C100)*INDEX(Routes!$Y$6:$Y$9,$C100)*F100)-2),IF((INDEX(Routes!$M$6:$M$9,$C100)*INDEX(Routes!$Y$6:$Y$9,$C100)*F100)&lt;=4,2.9+0.75*((INDEX(Routes!$M$6:$M$9,$C100)*INDEX(Routes!$Y$6:$Y$9,$C100)*F100)-3),IF((INDEX(Routes!$M$6:$M$9,$C100)*INDEX(Routes!$Y$6:$Y$9,$C100)*F100)&lt;=5,3.65+0.6*((INDEX(Routes!$M$6:$M$9,$C100)*INDEX(Routes!$Y$6:$Y$9,$C100)*F100)-4),4.25+0.5*((INDEX(Routes!$M$6:$M$9,$C100)*INDEX(Routes!$Y$6:$Y$9,$C100)*F100)-5)))))</f>
        <v>0</v>
      </c>
    </row>
    <row r="101" customFormat="false" ht="15" hidden="false" customHeight="false" outlineLevel="0" collapsed="false">
      <c r="A101" s="2" t="s">
        <v>597</v>
      </c>
      <c r="B101" s="2" t="s">
        <v>592</v>
      </c>
      <c r="C101" s="13" t="n">
        <v>1</v>
      </c>
      <c r="D101" s="70" t="n">
        <v>100</v>
      </c>
      <c r="E101" s="88" t="n">
        <f aca="false">FreightMult</f>
        <v>1</v>
      </c>
      <c r="F101" s="88" t="n">
        <f aca="false">PortMult</f>
        <v>1</v>
      </c>
      <c r="G101" s="89" t="n">
        <f aca="false">UtilFH</f>
        <v>0.85</v>
      </c>
      <c r="H101" s="89" t="n">
        <f aca="false">UtilBH</f>
        <v>0.5</v>
      </c>
      <c r="I101" s="90" t="n">
        <f aca="false">Speed</f>
        <v>13.5</v>
      </c>
      <c r="J101" s="88" t="n">
        <f aca="false">PortCostMult</f>
        <v>1</v>
      </c>
      <c r="K101" s="90" t="n">
        <f aca="false">EUA</f>
        <v>75</v>
      </c>
      <c r="L101" s="71" t="n">
        <f aca="false">INDEX(Routes!$E$6:$E$9,$C101)</f>
        <v>5000</v>
      </c>
      <c r="M101" s="72" t="n">
        <f aca="false">INDEX(Routes!$F$6:$F$9,$C101)/L101</f>
        <v>0.13</v>
      </c>
      <c r="N101" s="77" t="n">
        <f aca="false">2*L101*(1+SeaMargin)/(I101*24)</f>
        <v>32.4074074074074</v>
      </c>
      <c r="O101" s="84" t="n">
        <f aca="false">(I101/RefSpeed)^SpeedExp</f>
        <v>1</v>
      </c>
      <c r="P101" s="2" t="n">
        <f aca="false">IF(H101&gt;0,1,0)</f>
        <v>1</v>
      </c>
      <c r="Q101" s="71" t="n">
        <f aca="false">N101/2*O101*(ConsLaden+IF(P101=1,ConsLaden,ConsBallast))</f>
        <v>875</v>
      </c>
      <c r="R101" s="71" t="n">
        <f aca="false">Q101*(1-M101)</f>
        <v>761.25</v>
      </c>
      <c r="S101" s="71" t="n">
        <f aca="false">Q101*M101</f>
        <v>113.75</v>
      </c>
      <c r="T101" s="2" t="n">
        <f aca="false">1+P101</f>
        <v>2</v>
      </c>
      <c r="U101" s="77" t="n">
        <f aca="false">INDEX(Routes!$L$6:$L$9,$C101)*T101*F101</f>
        <v>10</v>
      </c>
      <c r="V101" s="77" t="n">
        <f aca="false">INDEX(Routes!$M$6:$M$9,$C101)*T101*F101</f>
        <v>7</v>
      </c>
      <c r="W101" s="77" t="n">
        <f aca="false">INDEX(Routes!$H$6:$H$9,$C101)*2</f>
        <v>0</v>
      </c>
      <c r="X101" s="71" t="n">
        <f aca="false">(U101+V101+W101)*ConsPort</f>
        <v>102</v>
      </c>
      <c r="Y101" s="67" t="n">
        <f aca="false">R101*D101*VLSFO_Mult+(S101+X101)*D101*MGO_Mult</f>
        <v>795440</v>
      </c>
      <c r="Z101" s="67" t="n">
        <f aca="false">(INDEX(Routes!$N$6:$N$9,$C101)+AN101+MIN(AC101*INDEX(Routes!$T$6:$T$9,$C101),INDEX(Routes!$V$6:$V$9,$C101))+INDEX(Routes!$O$6:$O$9,$C101)+AO101+MIN(AC101*INDEX(Routes!$U$6:$U$9,$C101),INDEX(Routes!$W$6:$W$9,$C101))+IF(P101=1,INDEX(Routes!$N$6:$N$9,$C101)+AN101+MIN(AD101*INDEX(Routes!$T$6:$T$9,$C101),INDEX(Routes!$V$6:$V$9,$C101))+INDEX(Routes!$O$6:$O$9,$C101)+AO101+MIN(AD101*INDEX(Routes!$U$6:$U$9,$C101),INDEX(Routes!$W$6:$W$9,$C101)),0))*J101</f>
        <v>252304.2096</v>
      </c>
      <c r="AA101" s="67" t="n">
        <f aca="false">INDEX(Routes!$R$6:$R$9,$C101)+IF(P101=1,INDEX(Routes!$R$6:$R$9,$C101),INDEX(Routes!$S$6:$S$9,$C101))</f>
        <v>0</v>
      </c>
      <c r="AB101" s="67" t="n">
        <f aca="false">((R101*CO2_VLSFO+S101*CO2_MGO)*INDEX(Routes!$I$6:$I$9,$C101)+(U101*INDEX(Routes!$P$6:$P$9,$C101)+V101*INDEX(Routes!$Q$6:$Q$9,$C101))*ConsPort*CO2_MGO)*PhaseIn*K101*FX</f>
        <v>123936.40875</v>
      </c>
      <c r="AC101" s="71" t="n">
        <f aca="false">Capacity*G101</f>
        <v>30600</v>
      </c>
      <c r="AD101" s="71" t="n">
        <f aca="false">Capacity*H101</f>
        <v>18000</v>
      </c>
      <c r="AE101" s="82" t="n">
        <f aca="false">INDEX(Routes!$J$6:$J$9,$C101)*E101</f>
        <v>52</v>
      </c>
      <c r="AF101" s="82" t="n">
        <f aca="false">INDEX(Routes!$K$6:$K$9,$C101)*E101</f>
        <v>38</v>
      </c>
      <c r="AG101" s="67" t="n">
        <f aca="false">AC101*AE101+AD101*AF101</f>
        <v>2275200</v>
      </c>
      <c r="AH101" s="67" t="n">
        <f aca="false">AG101*Commission</f>
        <v>56880</v>
      </c>
      <c r="AI101" s="67" t="n">
        <f aca="false">Y101+Z101+AA101+AB101+MiscVoy</f>
        <v>1196680.61835</v>
      </c>
      <c r="AJ101" s="77" t="n">
        <f aca="false">N101+U101+V101+W101</f>
        <v>49.4074074074074</v>
      </c>
      <c r="AK101" s="94" t="n">
        <f aca="false">(AG101-AH101-AI101)/AJ101</f>
        <v>20677.8585491379</v>
      </c>
      <c r="AL101" s="67" t="n">
        <f aca="false">AG101-AH101-AI101-Benchmark*AJ101</f>
        <v>132306.048316667</v>
      </c>
      <c r="AM101" s="82" t="n">
        <f aca="false">IF(AC101&gt;0,((Benchmark*AJ101+AI101)/(1-Commission)-AD101*AF101)/AC101,0)</f>
        <v>47.5654081341824</v>
      </c>
      <c r="AN101" s="67" t="n">
        <f aca="false">LOA_ft*Port_Tariffs!$C$9*IF((INDEX(Routes!$L$6:$L$9,$C101)*INDEX(Routes!$X$6:$X$9,$C101)*F101)&lt;=2,(INDEX(Routes!$L$6:$L$9,$C101)*INDEX(Routes!$X$6:$X$9,$C101)*F101),IF((INDEX(Routes!$L$6:$L$9,$C101)*INDEX(Routes!$X$6:$X$9,$C101)*F101)&lt;=3,2+0.9*((INDEX(Routes!$L$6:$L$9,$C101)*INDEX(Routes!$X$6:$X$9,$C101)*F101)-2),IF((INDEX(Routes!$L$6:$L$9,$C101)*INDEX(Routes!$X$6:$X$9,$C101)*F101)&lt;=4,2.9+0.75*((INDEX(Routes!$L$6:$L$9,$C101)*INDEX(Routes!$X$6:$X$9,$C101)*F101)-3),IF((INDEX(Routes!$L$6:$L$9,$C101)*INDEX(Routes!$X$6:$X$9,$C101)*F101)&lt;=5,3.65+0.6*((INDEX(Routes!$L$6:$L$9,$C101)*INDEX(Routes!$X$6:$X$9,$C101)*F101)-4),4.25+0.5*((INDEX(Routes!$L$6:$L$9,$C101)*INDEX(Routes!$X$6:$X$9,$C101)*F101)-5)))))</f>
        <v>19557.6</v>
      </c>
      <c r="AO101" s="67" t="n">
        <f aca="false">LOA_ft*Port_Tariffs!$C$9*IF((INDEX(Routes!$M$6:$M$9,$C101)*INDEX(Routes!$Y$6:$Y$9,$C101)*F101)&lt;=2,(INDEX(Routes!$M$6:$M$9,$C101)*INDEX(Routes!$Y$6:$Y$9,$C101)*F101),IF((INDEX(Routes!$M$6:$M$9,$C101)*INDEX(Routes!$Y$6:$Y$9,$C101)*F101)&lt;=3,2+0.9*((INDEX(Routes!$M$6:$M$9,$C101)*INDEX(Routes!$Y$6:$Y$9,$C101)*F101)-2),IF((INDEX(Routes!$M$6:$M$9,$C101)*INDEX(Routes!$Y$6:$Y$9,$C101)*F101)&lt;=4,2.9+0.75*((INDEX(Routes!$M$6:$M$9,$C101)*INDEX(Routes!$Y$6:$Y$9,$C101)*F101)-3),IF((INDEX(Routes!$M$6:$M$9,$C101)*INDEX(Routes!$Y$6:$Y$9,$C101)*F101)&lt;=5,3.65+0.6*((INDEX(Routes!$M$6:$M$9,$C101)*INDEX(Routes!$Y$6:$Y$9,$C101)*F101)-4),4.25+0.5*((INDEX(Routes!$M$6:$M$9,$C101)*INDEX(Routes!$Y$6:$Y$9,$C101)*F101)-5)))))</f>
        <v>0</v>
      </c>
    </row>
    <row r="102" customFormat="false" ht="15" hidden="false" customHeight="false" outlineLevel="0" collapsed="false">
      <c r="A102" s="2" t="s">
        <v>598</v>
      </c>
      <c r="B102" s="2" t="s">
        <v>592</v>
      </c>
      <c r="C102" s="13" t="n">
        <v>1</v>
      </c>
      <c r="D102" s="70" t="n">
        <v>110</v>
      </c>
      <c r="E102" s="88" t="n">
        <f aca="false">FreightMult</f>
        <v>1</v>
      </c>
      <c r="F102" s="88" t="n">
        <f aca="false">PortMult</f>
        <v>1</v>
      </c>
      <c r="G102" s="89" t="n">
        <f aca="false">UtilFH</f>
        <v>0.85</v>
      </c>
      <c r="H102" s="89" t="n">
        <f aca="false">UtilBH</f>
        <v>0.5</v>
      </c>
      <c r="I102" s="90" t="n">
        <f aca="false">Speed</f>
        <v>13.5</v>
      </c>
      <c r="J102" s="88" t="n">
        <f aca="false">PortCostMult</f>
        <v>1</v>
      </c>
      <c r="K102" s="90" t="n">
        <f aca="false">EUA</f>
        <v>75</v>
      </c>
      <c r="L102" s="71" t="n">
        <f aca="false">INDEX(Routes!$E$6:$E$9,$C102)</f>
        <v>5000</v>
      </c>
      <c r="M102" s="72" t="n">
        <f aca="false">INDEX(Routes!$F$6:$F$9,$C102)/L102</f>
        <v>0.13</v>
      </c>
      <c r="N102" s="77" t="n">
        <f aca="false">2*L102*(1+SeaMargin)/(I102*24)</f>
        <v>32.4074074074074</v>
      </c>
      <c r="O102" s="84" t="n">
        <f aca="false">(I102/RefSpeed)^SpeedExp</f>
        <v>1</v>
      </c>
      <c r="P102" s="2" t="n">
        <f aca="false">IF(H102&gt;0,1,0)</f>
        <v>1</v>
      </c>
      <c r="Q102" s="71" t="n">
        <f aca="false">N102/2*O102*(ConsLaden+IF(P102=1,ConsLaden,ConsBallast))</f>
        <v>875</v>
      </c>
      <c r="R102" s="71" t="n">
        <f aca="false">Q102*(1-M102)</f>
        <v>761.25</v>
      </c>
      <c r="S102" s="71" t="n">
        <f aca="false">Q102*M102</f>
        <v>113.75</v>
      </c>
      <c r="T102" s="2" t="n">
        <f aca="false">1+P102</f>
        <v>2</v>
      </c>
      <c r="U102" s="77" t="n">
        <f aca="false">INDEX(Routes!$L$6:$L$9,$C102)*T102*F102</f>
        <v>10</v>
      </c>
      <c r="V102" s="77" t="n">
        <f aca="false">INDEX(Routes!$M$6:$M$9,$C102)*T102*F102</f>
        <v>7</v>
      </c>
      <c r="W102" s="77" t="n">
        <f aca="false">INDEX(Routes!$H$6:$H$9,$C102)*2</f>
        <v>0</v>
      </c>
      <c r="X102" s="71" t="n">
        <f aca="false">(U102+V102+W102)*ConsPort</f>
        <v>102</v>
      </c>
      <c r="Y102" s="67" t="n">
        <f aca="false">R102*D102*VLSFO_Mult+(S102+X102)*D102*MGO_Mult</f>
        <v>874984</v>
      </c>
      <c r="Z102" s="67" t="n">
        <f aca="false">(INDEX(Routes!$N$6:$N$9,$C102)+AN102+MIN(AC102*INDEX(Routes!$T$6:$T$9,$C102),INDEX(Routes!$V$6:$V$9,$C102))+INDEX(Routes!$O$6:$O$9,$C102)+AO102+MIN(AC102*INDEX(Routes!$U$6:$U$9,$C102),INDEX(Routes!$W$6:$W$9,$C102))+IF(P102=1,INDEX(Routes!$N$6:$N$9,$C102)+AN102+MIN(AD102*INDEX(Routes!$T$6:$T$9,$C102),INDEX(Routes!$V$6:$V$9,$C102))+INDEX(Routes!$O$6:$O$9,$C102)+AO102+MIN(AD102*INDEX(Routes!$U$6:$U$9,$C102),INDEX(Routes!$W$6:$W$9,$C102)),0))*J102</f>
        <v>252304.2096</v>
      </c>
      <c r="AA102" s="67" t="n">
        <f aca="false">INDEX(Routes!$R$6:$R$9,$C102)+IF(P102=1,INDEX(Routes!$R$6:$R$9,$C102),INDEX(Routes!$S$6:$S$9,$C102))</f>
        <v>0</v>
      </c>
      <c r="AB102" s="67" t="n">
        <f aca="false">((R102*CO2_VLSFO+S102*CO2_MGO)*INDEX(Routes!$I$6:$I$9,$C102)+(U102*INDEX(Routes!$P$6:$P$9,$C102)+V102*INDEX(Routes!$Q$6:$Q$9,$C102))*ConsPort*CO2_MGO)*PhaseIn*K102*FX</f>
        <v>123936.40875</v>
      </c>
      <c r="AC102" s="71" t="n">
        <f aca="false">Capacity*G102</f>
        <v>30600</v>
      </c>
      <c r="AD102" s="71" t="n">
        <f aca="false">Capacity*H102</f>
        <v>18000</v>
      </c>
      <c r="AE102" s="82" t="n">
        <f aca="false">INDEX(Routes!$J$6:$J$9,$C102)*E102</f>
        <v>52</v>
      </c>
      <c r="AF102" s="82" t="n">
        <f aca="false">INDEX(Routes!$K$6:$K$9,$C102)*E102</f>
        <v>38</v>
      </c>
      <c r="AG102" s="67" t="n">
        <f aca="false">AC102*AE102+AD102*AF102</f>
        <v>2275200</v>
      </c>
      <c r="AH102" s="67" t="n">
        <f aca="false">AG102*Commission</f>
        <v>56880</v>
      </c>
      <c r="AI102" s="67" t="n">
        <f aca="false">Y102+Z102+AA102+AB102+MiscVoy</f>
        <v>1276224.61835</v>
      </c>
      <c r="AJ102" s="77" t="n">
        <f aca="false">N102+U102+V102+W102</f>
        <v>49.4074074074074</v>
      </c>
      <c r="AK102" s="94" t="n">
        <f aca="false">(AG102-AH102-AI102)/AJ102</f>
        <v>19067.8975296477</v>
      </c>
      <c r="AL102" s="67" t="n">
        <f aca="false">AG102-AH102-AI102-Benchmark*AJ102</f>
        <v>52762.0483166669</v>
      </c>
      <c r="AM102" s="82" t="n">
        <f aca="false">IF(AC102&gt;0,((Benchmark*AJ102+AI102)/(1-Commission)-AD102*AF102)/AC102,0)</f>
        <v>50.2315385179599</v>
      </c>
      <c r="AN102" s="67" t="n">
        <f aca="false">LOA_ft*Port_Tariffs!$C$9*IF((INDEX(Routes!$L$6:$L$9,$C102)*INDEX(Routes!$X$6:$X$9,$C102)*F102)&lt;=2,(INDEX(Routes!$L$6:$L$9,$C102)*INDEX(Routes!$X$6:$X$9,$C102)*F102),IF((INDEX(Routes!$L$6:$L$9,$C102)*INDEX(Routes!$X$6:$X$9,$C102)*F102)&lt;=3,2+0.9*((INDEX(Routes!$L$6:$L$9,$C102)*INDEX(Routes!$X$6:$X$9,$C102)*F102)-2),IF((INDEX(Routes!$L$6:$L$9,$C102)*INDEX(Routes!$X$6:$X$9,$C102)*F102)&lt;=4,2.9+0.75*((INDEX(Routes!$L$6:$L$9,$C102)*INDEX(Routes!$X$6:$X$9,$C102)*F102)-3),IF((INDEX(Routes!$L$6:$L$9,$C102)*INDEX(Routes!$X$6:$X$9,$C102)*F102)&lt;=5,3.65+0.6*((INDEX(Routes!$L$6:$L$9,$C102)*INDEX(Routes!$X$6:$X$9,$C102)*F102)-4),4.25+0.5*((INDEX(Routes!$L$6:$L$9,$C102)*INDEX(Routes!$X$6:$X$9,$C102)*F102)-5)))))</f>
        <v>19557.6</v>
      </c>
      <c r="AO102" s="67" t="n">
        <f aca="false">LOA_ft*Port_Tariffs!$C$9*IF((INDEX(Routes!$M$6:$M$9,$C102)*INDEX(Routes!$Y$6:$Y$9,$C102)*F102)&lt;=2,(INDEX(Routes!$M$6:$M$9,$C102)*INDEX(Routes!$Y$6:$Y$9,$C102)*F102),IF((INDEX(Routes!$M$6:$M$9,$C102)*INDEX(Routes!$Y$6:$Y$9,$C102)*F102)&lt;=3,2+0.9*((INDEX(Routes!$M$6:$M$9,$C102)*INDEX(Routes!$Y$6:$Y$9,$C102)*F102)-2),IF((INDEX(Routes!$M$6:$M$9,$C102)*INDEX(Routes!$Y$6:$Y$9,$C102)*F102)&lt;=4,2.9+0.75*((INDEX(Routes!$M$6:$M$9,$C102)*INDEX(Routes!$Y$6:$Y$9,$C102)*F102)-3),IF((INDEX(Routes!$M$6:$M$9,$C102)*INDEX(Routes!$Y$6:$Y$9,$C102)*F102)&lt;=5,3.65+0.6*((INDEX(Routes!$M$6:$M$9,$C102)*INDEX(Routes!$Y$6:$Y$9,$C102)*F102)-4),4.25+0.5*((INDEX(Routes!$M$6:$M$9,$C102)*INDEX(Routes!$Y$6:$Y$9,$C102)*F102)-5)))))</f>
        <v>0</v>
      </c>
    </row>
    <row r="103" customFormat="false" ht="15" hidden="false" customHeight="false" outlineLevel="0" collapsed="false">
      <c r="A103" s="2" t="s">
        <v>599</v>
      </c>
      <c r="B103" s="2" t="s">
        <v>592</v>
      </c>
      <c r="C103" s="13" t="n">
        <v>1</v>
      </c>
      <c r="D103" s="70" t="n">
        <v>120</v>
      </c>
      <c r="E103" s="88" t="n">
        <f aca="false">FreightMult</f>
        <v>1</v>
      </c>
      <c r="F103" s="88" t="n">
        <f aca="false">PortMult</f>
        <v>1</v>
      </c>
      <c r="G103" s="89" t="n">
        <f aca="false">UtilFH</f>
        <v>0.85</v>
      </c>
      <c r="H103" s="89" t="n">
        <f aca="false">UtilBH</f>
        <v>0.5</v>
      </c>
      <c r="I103" s="90" t="n">
        <f aca="false">Speed</f>
        <v>13.5</v>
      </c>
      <c r="J103" s="88" t="n">
        <f aca="false">PortCostMult</f>
        <v>1</v>
      </c>
      <c r="K103" s="90" t="n">
        <f aca="false">EUA</f>
        <v>75</v>
      </c>
      <c r="L103" s="71" t="n">
        <f aca="false">INDEX(Routes!$E$6:$E$9,$C103)</f>
        <v>5000</v>
      </c>
      <c r="M103" s="72" t="n">
        <f aca="false">INDEX(Routes!$F$6:$F$9,$C103)/L103</f>
        <v>0.13</v>
      </c>
      <c r="N103" s="77" t="n">
        <f aca="false">2*L103*(1+SeaMargin)/(I103*24)</f>
        <v>32.4074074074074</v>
      </c>
      <c r="O103" s="84" t="n">
        <f aca="false">(I103/RefSpeed)^SpeedExp</f>
        <v>1</v>
      </c>
      <c r="P103" s="2" t="n">
        <f aca="false">IF(H103&gt;0,1,0)</f>
        <v>1</v>
      </c>
      <c r="Q103" s="71" t="n">
        <f aca="false">N103/2*O103*(ConsLaden+IF(P103=1,ConsLaden,ConsBallast))</f>
        <v>875</v>
      </c>
      <c r="R103" s="71" t="n">
        <f aca="false">Q103*(1-M103)</f>
        <v>761.25</v>
      </c>
      <c r="S103" s="71" t="n">
        <f aca="false">Q103*M103</f>
        <v>113.75</v>
      </c>
      <c r="T103" s="2" t="n">
        <f aca="false">1+P103</f>
        <v>2</v>
      </c>
      <c r="U103" s="77" t="n">
        <f aca="false">INDEX(Routes!$L$6:$L$9,$C103)*T103*F103</f>
        <v>10</v>
      </c>
      <c r="V103" s="77" t="n">
        <f aca="false">INDEX(Routes!$M$6:$M$9,$C103)*T103*F103</f>
        <v>7</v>
      </c>
      <c r="W103" s="77" t="n">
        <f aca="false">INDEX(Routes!$H$6:$H$9,$C103)*2</f>
        <v>0</v>
      </c>
      <c r="X103" s="71" t="n">
        <f aca="false">(U103+V103+W103)*ConsPort</f>
        <v>102</v>
      </c>
      <c r="Y103" s="67" t="n">
        <f aca="false">R103*D103*VLSFO_Mult+(S103+X103)*D103*MGO_Mult</f>
        <v>954528</v>
      </c>
      <c r="Z103" s="67" t="n">
        <f aca="false">(INDEX(Routes!$N$6:$N$9,$C103)+AN103+MIN(AC103*INDEX(Routes!$T$6:$T$9,$C103),INDEX(Routes!$V$6:$V$9,$C103))+INDEX(Routes!$O$6:$O$9,$C103)+AO103+MIN(AC103*INDEX(Routes!$U$6:$U$9,$C103),INDEX(Routes!$W$6:$W$9,$C103))+IF(P103=1,INDEX(Routes!$N$6:$N$9,$C103)+AN103+MIN(AD103*INDEX(Routes!$T$6:$T$9,$C103),INDEX(Routes!$V$6:$V$9,$C103))+INDEX(Routes!$O$6:$O$9,$C103)+AO103+MIN(AD103*INDEX(Routes!$U$6:$U$9,$C103),INDEX(Routes!$W$6:$W$9,$C103)),0))*J103</f>
        <v>252304.2096</v>
      </c>
      <c r="AA103" s="67" t="n">
        <f aca="false">INDEX(Routes!$R$6:$R$9,$C103)+IF(P103=1,INDEX(Routes!$R$6:$R$9,$C103),INDEX(Routes!$S$6:$S$9,$C103))</f>
        <v>0</v>
      </c>
      <c r="AB103" s="67" t="n">
        <f aca="false">((R103*CO2_VLSFO+S103*CO2_MGO)*INDEX(Routes!$I$6:$I$9,$C103)+(U103*INDEX(Routes!$P$6:$P$9,$C103)+V103*INDEX(Routes!$Q$6:$Q$9,$C103))*ConsPort*CO2_MGO)*PhaseIn*K103*FX</f>
        <v>123936.40875</v>
      </c>
      <c r="AC103" s="71" t="n">
        <f aca="false">Capacity*G103</f>
        <v>30600</v>
      </c>
      <c r="AD103" s="71" t="n">
        <f aca="false">Capacity*H103</f>
        <v>18000</v>
      </c>
      <c r="AE103" s="82" t="n">
        <f aca="false">INDEX(Routes!$J$6:$J$9,$C103)*E103</f>
        <v>52</v>
      </c>
      <c r="AF103" s="82" t="n">
        <f aca="false">INDEX(Routes!$K$6:$K$9,$C103)*E103</f>
        <v>38</v>
      </c>
      <c r="AG103" s="67" t="n">
        <f aca="false">AC103*AE103+AD103*AF103</f>
        <v>2275200</v>
      </c>
      <c r="AH103" s="67" t="n">
        <f aca="false">AG103*Commission</f>
        <v>56880</v>
      </c>
      <c r="AI103" s="67" t="n">
        <f aca="false">Y103+Z103+AA103+AB103+MiscVoy</f>
        <v>1355768.61835</v>
      </c>
      <c r="AJ103" s="77" t="n">
        <f aca="false">N103+U103+V103+W103</f>
        <v>49.4074074074074</v>
      </c>
      <c r="AK103" s="94" t="n">
        <f aca="false">(AG103-AH103-AI103)/AJ103</f>
        <v>17457.9365101574</v>
      </c>
      <c r="AL103" s="67" t="n">
        <f aca="false">AG103-AH103-AI103-Benchmark*AJ103</f>
        <v>-26781.9516833331</v>
      </c>
      <c r="AM103" s="82" t="n">
        <f aca="false">IF(AC103&gt;0,((Benchmark*AJ103+AI103)/(1-Commission)-AD103*AF103)/AC103,0)</f>
        <v>52.8976689017373</v>
      </c>
      <c r="AN103" s="67" t="n">
        <f aca="false">LOA_ft*Port_Tariffs!$C$9*IF((INDEX(Routes!$L$6:$L$9,$C103)*INDEX(Routes!$X$6:$X$9,$C103)*F103)&lt;=2,(INDEX(Routes!$L$6:$L$9,$C103)*INDEX(Routes!$X$6:$X$9,$C103)*F103),IF((INDEX(Routes!$L$6:$L$9,$C103)*INDEX(Routes!$X$6:$X$9,$C103)*F103)&lt;=3,2+0.9*((INDEX(Routes!$L$6:$L$9,$C103)*INDEX(Routes!$X$6:$X$9,$C103)*F103)-2),IF((INDEX(Routes!$L$6:$L$9,$C103)*INDEX(Routes!$X$6:$X$9,$C103)*F103)&lt;=4,2.9+0.75*((INDEX(Routes!$L$6:$L$9,$C103)*INDEX(Routes!$X$6:$X$9,$C103)*F103)-3),IF((INDEX(Routes!$L$6:$L$9,$C103)*INDEX(Routes!$X$6:$X$9,$C103)*F103)&lt;=5,3.65+0.6*((INDEX(Routes!$L$6:$L$9,$C103)*INDEX(Routes!$X$6:$X$9,$C103)*F103)-4),4.25+0.5*((INDEX(Routes!$L$6:$L$9,$C103)*INDEX(Routes!$X$6:$X$9,$C103)*F103)-5)))))</f>
        <v>19557.6</v>
      </c>
      <c r="AO103" s="67" t="n">
        <f aca="false">LOA_ft*Port_Tariffs!$C$9*IF((INDEX(Routes!$M$6:$M$9,$C103)*INDEX(Routes!$Y$6:$Y$9,$C103)*F103)&lt;=2,(INDEX(Routes!$M$6:$M$9,$C103)*INDEX(Routes!$Y$6:$Y$9,$C103)*F103),IF((INDEX(Routes!$M$6:$M$9,$C103)*INDEX(Routes!$Y$6:$Y$9,$C103)*F103)&lt;=3,2+0.9*((INDEX(Routes!$M$6:$M$9,$C103)*INDEX(Routes!$Y$6:$Y$9,$C103)*F103)-2),IF((INDEX(Routes!$M$6:$M$9,$C103)*INDEX(Routes!$Y$6:$Y$9,$C103)*F103)&lt;=4,2.9+0.75*((INDEX(Routes!$M$6:$M$9,$C103)*INDEX(Routes!$Y$6:$Y$9,$C103)*F103)-3),IF((INDEX(Routes!$M$6:$M$9,$C103)*INDEX(Routes!$Y$6:$Y$9,$C103)*F103)&lt;=5,3.65+0.6*((INDEX(Routes!$M$6:$M$9,$C103)*INDEX(Routes!$Y$6:$Y$9,$C103)*F103)-4),4.25+0.5*((INDEX(Routes!$M$6:$M$9,$C103)*INDEX(Routes!$Y$6:$Y$9,$C103)*F103)-5)))))</f>
        <v>0</v>
      </c>
    </row>
    <row r="104" customFormat="false" ht="15" hidden="false" customHeight="false" outlineLevel="0" collapsed="false">
      <c r="A104" s="2" t="s">
        <v>600</v>
      </c>
      <c r="B104" s="2" t="s">
        <v>592</v>
      </c>
      <c r="C104" s="13" t="n">
        <v>1</v>
      </c>
      <c r="D104" s="70" t="n">
        <v>130</v>
      </c>
      <c r="E104" s="88" t="n">
        <f aca="false">FreightMult</f>
        <v>1</v>
      </c>
      <c r="F104" s="88" t="n">
        <f aca="false">PortMult</f>
        <v>1</v>
      </c>
      <c r="G104" s="89" t="n">
        <f aca="false">UtilFH</f>
        <v>0.85</v>
      </c>
      <c r="H104" s="89" t="n">
        <f aca="false">UtilBH</f>
        <v>0.5</v>
      </c>
      <c r="I104" s="90" t="n">
        <f aca="false">Speed</f>
        <v>13.5</v>
      </c>
      <c r="J104" s="88" t="n">
        <f aca="false">PortCostMult</f>
        <v>1</v>
      </c>
      <c r="K104" s="90" t="n">
        <f aca="false">EUA</f>
        <v>75</v>
      </c>
      <c r="L104" s="71" t="n">
        <f aca="false">INDEX(Routes!$E$6:$E$9,$C104)</f>
        <v>5000</v>
      </c>
      <c r="M104" s="72" t="n">
        <f aca="false">INDEX(Routes!$F$6:$F$9,$C104)/L104</f>
        <v>0.13</v>
      </c>
      <c r="N104" s="77" t="n">
        <f aca="false">2*L104*(1+SeaMargin)/(I104*24)</f>
        <v>32.4074074074074</v>
      </c>
      <c r="O104" s="84" t="n">
        <f aca="false">(I104/RefSpeed)^SpeedExp</f>
        <v>1</v>
      </c>
      <c r="P104" s="2" t="n">
        <f aca="false">IF(H104&gt;0,1,0)</f>
        <v>1</v>
      </c>
      <c r="Q104" s="71" t="n">
        <f aca="false">N104/2*O104*(ConsLaden+IF(P104=1,ConsLaden,ConsBallast))</f>
        <v>875</v>
      </c>
      <c r="R104" s="71" t="n">
        <f aca="false">Q104*(1-M104)</f>
        <v>761.25</v>
      </c>
      <c r="S104" s="71" t="n">
        <f aca="false">Q104*M104</f>
        <v>113.75</v>
      </c>
      <c r="T104" s="2" t="n">
        <f aca="false">1+P104</f>
        <v>2</v>
      </c>
      <c r="U104" s="77" t="n">
        <f aca="false">INDEX(Routes!$L$6:$L$9,$C104)*T104*F104</f>
        <v>10</v>
      </c>
      <c r="V104" s="77" t="n">
        <f aca="false">INDEX(Routes!$M$6:$M$9,$C104)*T104*F104</f>
        <v>7</v>
      </c>
      <c r="W104" s="77" t="n">
        <f aca="false">INDEX(Routes!$H$6:$H$9,$C104)*2</f>
        <v>0</v>
      </c>
      <c r="X104" s="71" t="n">
        <f aca="false">(U104+V104+W104)*ConsPort</f>
        <v>102</v>
      </c>
      <c r="Y104" s="67" t="n">
        <f aca="false">R104*D104*VLSFO_Mult+(S104+X104)*D104*MGO_Mult</f>
        <v>1034072</v>
      </c>
      <c r="Z104" s="67" t="n">
        <f aca="false">(INDEX(Routes!$N$6:$N$9,$C104)+AN104+MIN(AC104*INDEX(Routes!$T$6:$T$9,$C104),INDEX(Routes!$V$6:$V$9,$C104))+INDEX(Routes!$O$6:$O$9,$C104)+AO104+MIN(AC104*INDEX(Routes!$U$6:$U$9,$C104),INDEX(Routes!$W$6:$W$9,$C104))+IF(P104=1,INDEX(Routes!$N$6:$N$9,$C104)+AN104+MIN(AD104*INDEX(Routes!$T$6:$T$9,$C104),INDEX(Routes!$V$6:$V$9,$C104))+INDEX(Routes!$O$6:$O$9,$C104)+AO104+MIN(AD104*INDEX(Routes!$U$6:$U$9,$C104),INDEX(Routes!$W$6:$W$9,$C104)),0))*J104</f>
        <v>252304.2096</v>
      </c>
      <c r="AA104" s="67" t="n">
        <f aca="false">INDEX(Routes!$R$6:$R$9,$C104)+IF(P104=1,INDEX(Routes!$R$6:$R$9,$C104),INDEX(Routes!$S$6:$S$9,$C104))</f>
        <v>0</v>
      </c>
      <c r="AB104" s="67" t="n">
        <f aca="false">((R104*CO2_VLSFO+S104*CO2_MGO)*INDEX(Routes!$I$6:$I$9,$C104)+(U104*INDEX(Routes!$P$6:$P$9,$C104)+V104*INDEX(Routes!$Q$6:$Q$9,$C104))*ConsPort*CO2_MGO)*PhaseIn*K104*FX</f>
        <v>123936.40875</v>
      </c>
      <c r="AC104" s="71" t="n">
        <f aca="false">Capacity*G104</f>
        <v>30600</v>
      </c>
      <c r="AD104" s="71" t="n">
        <f aca="false">Capacity*H104</f>
        <v>18000</v>
      </c>
      <c r="AE104" s="82" t="n">
        <f aca="false">INDEX(Routes!$J$6:$J$9,$C104)*E104</f>
        <v>52</v>
      </c>
      <c r="AF104" s="82" t="n">
        <f aca="false">INDEX(Routes!$K$6:$K$9,$C104)*E104</f>
        <v>38</v>
      </c>
      <c r="AG104" s="67" t="n">
        <f aca="false">AC104*AE104+AD104*AF104</f>
        <v>2275200</v>
      </c>
      <c r="AH104" s="67" t="n">
        <f aca="false">AG104*Commission</f>
        <v>56880</v>
      </c>
      <c r="AI104" s="67" t="n">
        <f aca="false">Y104+Z104+AA104+AB104+MiscVoy</f>
        <v>1435312.61835</v>
      </c>
      <c r="AJ104" s="77" t="n">
        <f aca="false">N104+U104+V104+W104</f>
        <v>49.4074074074074</v>
      </c>
      <c r="AK104" s="94" t="n">
        <f aca="false">(AG104-AH104-AI104)/AJ104</f>
        <v>15847.9754906672</v>
      </c>
      <c r="AL104" s="67" t="n">
        <f aca="false">AG104-AH104-AI104-Benchmark*AJ104</f>
        <v>-106325.951683333</v>
      </c>
      <c r="AM104" s="82" t="n">
        <f aca="false">IF(AC104&gt;0,((Benchmark*AJ104+AI104)/(1-Commission)-AD104*AF104)/AC104,0)</f>
        <v>55.5637992855148</v>
      </c>
      <c r="AN104" s="67" t="n">
        <f aca="false">LOA_ft*Port_Tariffs!$C$9*IF((INDEX(Routes!$L$6:$L$9,$C104)*INDEX(Routes!$X$6:$X$9,$C104)*F104)&lt;=2,(INDEX(Routes!$L$6:$L$9,$C104)*INDEX(Routes!$X$6:$X$9,$C104)*F104),IF((INDEX(Routes!$L$6:$L$9,$C104)*INDEX(Routes!$X$6:$X$9,$C104)*F104)&lt;=3,2+0.9*((INDEX(Routes!$L$6:$L$9,$C104)*INDEX(Routes!$X$6:$X$9,$C104)*F104)-2),IF((INDEX(Routes!$L$6:$L$9,$C104)*INDEX(Routes!$X$6:$X$9,$C104)*F104)&lt;=4,2.9+0.75*((INDEX(Routes!$L$6:$L$9,$C104)*INDEX(Routes!$X$6:$X$9,$C104)*F104)-3),IF((INDEX(Routes!$L$6:$L$9,$C104)*INDEX(Routes!$X$6:$X$9,$C104)*F104)&lt;=5,3.65+0.6*((INDEX(Routes!$L$6:$L$9,$C104)*INDEX(Routes!$X$6:$X$9,$C104)*F104)-4),4.25+0.5*((INDEX(Routes!$L$6:$L$9,$C104)*INDEX(Routes!$X$6:$X$9,$C104)*F104)-5)))))</f>
        <v>19557.6</v>
      </c>
      <c r="AO104" s="67" t="n">
        <f aca="false">LOA_ft*Port_Tariffs!$C$9*IF((INDEX(Routes!$M$6:$M$9,$C104)*INDEX(Routes!$Y$6:$Y$9,$C104)*F104)&lt;=2,(INDEX(Routes!$M$6:$M$9,$C104)*INDEX(Routes!$Y$6:$Y$9,$C104)*F104),IF((INDEX(Routes!$M$6:$M$9,$C104)*INDEX(Routes!$Y$6:$Y$9,$C104)*F104)&lt;=3,2+0.9*((INDEX(Routes!$M$6:$M$9,$C104)*INDEX(Routes!$Y$6:$Y$9,$C104)*F104)-2),IF((INDEX(Routes!$M$6:$M$9,$C104)*INDEX(Routes!$Y$6:$Y$9,$C104)*F104)&lt;=4,2.9+0.75*((INDEX(Routes!$M$6:$M$9,$C104)*INDEX(Routes!$Y$6:$Y$9,$C104)*F104)-3),IF((INDEX(Routes!$M$6:$M$9,$C104)*INDEX(Routes!$Y$6:$Y$9,$C104)*F104)&lt;=5,3.65+0.6*((INDEX(Routes!$M$6:$M$9,$C104)*INDEX(Routes!$Y$6:$Y$9,$C104)*F104)-4),4.25+0.5*((INDEX(Routes!$M$6:$M$9,$C104)*INDEX(Routes!$Y$6:$Y$9,$C104)*F104)-5)))))</f>
        <v>0</v>
      </c>
    </row>
    <row r="105" customFormat="false" ht="15" hidden="false" customHeight="false" outlineLevel="0" collapsed="false">
      <c r="A105" s="2" t="s">
        <v>601</v>
      </c>
      <c r="B105" s="2" t="s">
        <v>592</v>
      </c>
      <c r="C105" s="13" t="n">
        <v>2</v>
      </c>
      <c r="D105" s="70" t="n">
        <v>50</v>
      </c>
      <c r="E105" s="88" t="n">
        <f aca="false">FreightMult</f>
        <v>1</v>
      </c>
      <c r="F105" s="88" t="n">
        <f aca="false">PortMult</f>
        <v>1</v>
      </c>
      <c r="G105" s="89" t="n">
        <f aca="false">UtilFH</f>
        <v>0.85</v>
      </c>
      <c r="H105" s="89" t="n">
        <f aca="false">UtilBH</f>
        <v>0.5</v>
      </c>
      <c r="I105" s="90" t="n">
        <f aca="false">Speed</f>
        <v>13.5</v>
      </c>
      <c r="J105" s="88" t="n">
        <f aca="false">PortCostMult</f>
        <v>1</v>
      </c>
      <c r="K105" s="90" t="n">
        <f aca="false">EUA</f>
        <v>75</v>
      </c>
      <c r="L105" s="71" t="n">
        <f aca="false">INDEX(Routes!$E$6:$E$9,$C105)</f>
        <v>9650</v>
      </c>
      <c r="M105" s="72" t="n">
        <f aca="false">INDEX(Routes!$F$6:$F$9,$C105)/L105</f>
        <v>0.0207253886010363</v>
      </c>
      <c r="N105" s="77" t="n">
        <f aca="false">2*L105*(1+SeaMargin)/(I105*24)</f>
        <v>62.5462962962963</v>
      </c>
      <c r="O105" s="84" t="n">
        <f aca="false">(I105/RefSpeed)^SpeedExp</f>
        <v>1</v>
      </c>
      <c r="P105" s="2" t="n">
        <f aca="false">IF(H105&gt;0,1,0)</f>
        <v>1</v>
      </c>
      <c r="Q105" s="71" t="n">
        <f aca="false">N105/2*O105*(ConsLaden+IF(P105=1,ConsLaden,ConsBallast))</f>
        <v>1688.75</v>
      </c>
      <c r="R105" s="71" t="n">
        <f aca="false">Q105*(1-M105)</f>
        <v>1653.75</v>
      </c>
      <c r="S105" s="71" t="n">
        <f aca="false">Q105*M105</f>
        <v>35</v>
      </c>
      <c r="T105" s="2" t="n">
        <f aca="false">1+P105</f>
        <v>2</v>
      </c>
      <c r="U105" s="77" t="n">
        <f aca="false">INDEX(Routes!$L$6:$L$9,$C105)*T105*F105</f>
        <v>10</v>
      </c>
      <c r="V105" s="77" t="n">
        <f aca="false">INDEX(Routes!$M$6:$M$9,$C105)*T105*F105</f>
        <v>7</v>
      </c>
      <c r="W105" s="77" t="n">
        <f aca="false">INDEX(Routes!$H$6:$H$9,$C105)*2</f>
        <v>3</v>
      </c>
      <c r="X105" s="71" t="n">
        <f aca="false">(U105+V105+W105)*ConsPort</f>
        <v>120</v>
      </c>
      <c r="Y105" s="67" t="n">
        <f aca="false">R105*D105*VLSFO_Mult+(S105+X105)*D105*MGO_Mult</f>
        <v>711868.75</v>
      </c>
      <c r="Z105" s="67" t="n">
        <f aca="false">(INDEX(Routes!$N$6:$N$9,$C105)+AN105+MIN(AC105*INDEX(Routes!$T$6:$T$9,$C105),INDEX(Routes!$V$6:$V$9,$C105))+INDEX(Routes!$O$6:$O$9,$C105)+AO105+MIN(AC105*INDEX(Routes!$U$6:$U$9,$C105),INDEX(Routes!$W$6:$W$9,$C105))+IF(P105=1,INDEX(Routes!$N$6:$N$9,$C105)+AN105+MIN(AD105*INDEX(Routes!$T$6:$T$9,$C105),INDEX(Routes!$V$6:$V$9,$C105))+INDEX(Routes!$O$6:$O$9,$C105)+AO105+MIN(AD105*INDEX(Routes!$U$6:$U$9,$C105),INDEX(Routes!$W$6:$W$9,$C105)),0))*J105</f>
        <v>260742</v>
      </c>
      <c r="AA105" s="67" t="n">
        <f aca="false">INDEX(Routes!$R$6:$R$9,$C105)+IF(P105=1,INDEX(Routes!$R$6:$R$9,$C105),INDEX(Routes!$S$6:$S$9,$C105))</f>
        <v>426920</v>
      </c>
      <c r="AB105" s="67" t="n">
        <f aca="false">((R105*CO2_VLSFO+S105*CO2_MGO)*INDEX(Routes!$I$6:$I$9,$C105)+(U105*INDEX(Routes!$P$6:$P$9,$C105)+V105*INDEX(Routes!$Q$6:$Q$9,$C105))*ConsPort*CO2_MGO)*PhaseIn*K105*FX</f>
        <v>0</v>
      </c>
      <c r="AC105" s="71" t="n">
        <f aca="false">Capacity*G105</f>
        <v>30600</v>
      </c>
      <c r="AD105" s="71" t="n">
        <f aca="false">Capacity*H105</f>
        <v>18000</v>
      </c>
      <c r="AE105" s="82" t="n">
        <f aca="false">INDEX(Routes!$J$6:$J$9,$C105)*E105</f>
        <v>92</v>
      </c>
      <c r="AF105" s="82" t="n">
        <f aca="false">INDEX(Routes!$K$6:$K$9,$C105)*E105</f>
        <v>52</v>
      </c>
      <c r="AG105" s="67" t="n">
        <f aca="false">AC105*AE105+AD105*AF105</f>
        <v>3751200</v>
      </c>
      <c r="AH105" s="67" t="n">
        <f aca="false">AG105*Commission</f>
        <v>93780</v>
      </c>
      <c r="AI105" s="67" t="n">
        <f aca="false">Y105+Z105+AA105+AB105+MiscVoy</f>
        <v>1424530.75</v>
      </c>
      <c r="AJ105" s="77" t="n">
        <f aca="false">N105+U105+V105+W105</f>
        <v>82.5462962962963</v>
      </c>
      <c r="AK105" s="94" t="n">
        <f aca="false">(AG105-AH105-AI105)/AJ105</f>
        <v>27050.1445877734</v>
      </c>
      <c r="AL105" s="67" t="n">
        <f aca="false">AG105-AH105-AI105-Benchmark*AJ105</f>
        <v>747055.916666667</v>
      </c>
      <c r="AM105" s="82" t="n">
        <f aca="false">IF(AC105&gt;0,((Benchmark*AJ105+AI105)/(1-Commission)-AD105*AF105)/AC105,0)</f>
        <v>66.9604184123792</v>
      </c>
      <c r="AN105" s="67" t="n">
        <f aca="false">LOA_ft*Port_Tariffs!$C$9*IF((INDEX(Routes!$L$6:$L$9,$C105)*INDEX(Routes!$X$6:$X$9,$C105)*F105)&lt;=2,(INDEX(Routes!$L$6:$L$9,$C105)*INDEX(Routes!$X$6:$X$9,$C105)*F105),IF((INDEX(Routes!$L$6:$L$9,$C105)*INDEX(Routes!$X$6:$X$9,$C105)*F105)&lt;=3,2+0.9*((INDEX(Routes!$L$6:$L$9,$C105)*INDEX(Routes!$X$6:$X$9,$C105)*F105)-2),IF((INDEX(Routes!$L$6:$L$9,$C105)*INDEX(Routes!$X$6:$X$9,$C105)*F105)&lt;=4,2.9+0.75*((INDEX(Routes!$L$6:$L$9,$C105)*INDEX(Routes!$X$6:$X$9,$C105)*F105)-3),IF((INDEX(Routes!$L$6:$L$9,$C105)*INDEX(Routes!$X$6:$X$9,$C105)*F105)&lt;=5,3.65+0.6*((INDEX(Routes!$L$6:$L$9,$C105)*INDEX(Routes!$X$6:$X$9,$C105)*F105)-4),4.25+0.5*((INDEX(Routes!$L$6:$L$9,$C105)*INDEX(Routes!$X$6:$X$9,$C105)*F105)-5)))))</f>
        <v>19557.6</v>
      </c>
      <c r="AO105" s="67" t="n">
        <f aca="false">LOA_ft*Port_Tariffs!$C$9*IF((INDEX(Routes!$M$6:$M$9,$C105)*INDEX(Routes!$Y$6:$Y$9,$C105)*F105)&lt;=2,(INDEX(Routes!$M$6:$M$9,$C105)*INDEX(Routes!$Y$6:$Y$9,$C105)*F105),IF((INDEX(Routes!$M$6:$M$9,$C105)*INDEX(Routes!$Y$6:$Y$9,$C105)*F105)&lt;=3,2+0.9*((INDEX(Routes!$M$6:$M$9,$C105)*INDEX(Routes!$Y$6:$Y$9,$C105)*F105)-2),IF((INDEX(Routes!$M$6:$M$9,$C105)*INDEX(Routes!$Y$6:$Y$9,$C105)*F105)&lt;=4,2.9+0.75*((INDEX(Routes!$M$6:$M$9,$C105)*INDEX(Routes!$Y$6:$Y$9,$C105)*F105)-3),IF((INDEX(Routes!$M$6:$M$9,$C105)*INDEX(Routes!$Y$6:$Y$9,$C105)*F105)&lt;=5,3.65+0.6*((INDEX(Routes!$M$6:$M$9,$C105)*INDEX(Routes!$Y$6:$Y$9,$C105)*F105)-4),4.25+0.5*((INDEX(Routes!$M$6:$M$9,$C105)*INDEX(Routes!$Y$6:$Y$9,$C105)*F105)-5)))))</f>
        <v>0</v>
      </c>
    </row>
    <row r="106" customFormat="false" ht="15" hidden="false" customHeight="false" outlineLevel="0" collapsed="false">
      <c r="A106" s="2" t="s">
        <v>602</v>
      </c>
      <c r="B106" s="2" t="s">
        <v>592</v>
      </c>
      <c r="C106" s="13" t="n">
        <v>2</v>
      </c>
      <c r="D106" s="70" t="n">
        <v>60</v>
      </c>
      <c r="E106" s="88" t="n">
        <f aca="false">FreightMult</f>
        <v>1</v>
      </c>
      <c r="F106" s="88" t="n">
        <f aca="false">PortMult</f>
        <v>1</v>
      </c>
      <c r="G106" s="89" t="n">
        <f aca="false">UtilFH</f>
        <v>0.85</v>
      </c>
      <c r="H106" s="89" t="n">
        <f aca="false">UtilBH</f>
        <v>0.5</v>
      </c>
      <c r="I106" s="90" t="n">
        <f aca="false">Speed</f>
        <v>13.5</v>
      </c>
      <c r="J106" s="88" t="n">
        <f aca="false">PortCostMult</f>
        <v>1</v>
      </c>
      <c r="K106" s="90" t="n">
        <f aca="false">EUA</f>
        <v>75</v>
      </c>
      <c r="L106" s="71" t="n">
        <f aca="false">INDEX(Routes!$E$6:$E$9,$C106)</f>
        <v>9650</v>
      </c>
      <c r="M106" s="72" t="n">
        <f aca="false">INDEX(Routes!$F$6:$F$9,$C106)/L106</f>
        <v>0.0207253886010363</v>
      </c>
      <c r="N106" s="77" t="n">
        <f aca="false">2*L106*(1+SeaMargin)/(I106*24)</f>
        <v>62.5462962962963</v>
      </c>
      <c r="O106" s="84" t="n">
        <f aca="false">(I106/RefSpeed)^SpeedExp</f>
        <v>1</v>
      </c>
      <c r="P106" s="2" t="n">
        <f aca="false">IF(H106&gt;0,1,0)</f>
        <v>1</v>
      </c>
      <c r="Q106" s="71" t="n">
        <f aca="false">N106/2*O106*(ConsLaden+IF(P106=1,ConsLaden,ConsBallast))</f>
        <v>1688.75</v>
      </c>
      <c r="R106" s="71" t="n">
        <f aca="false">Q106*(1-M106)</f>
        <v>1653.75</v>
      </c>
      <c r="S106" s="71" t="n">
        <f aca="false">Q106*M106</f>
        <v>35</v>
      </c>
      <c r="T106" s="2" t="n">
        <f aca="false">1+P106</f>
        <v>2</v>
      </c>
      <c r="U106" s="77" t="n">
        <f aca="false">INDEX(Routes!$L$6:$L$9,$C106)*T106*F106</f>
        <v>10</v>
      </c>
      <c r="V106" s="77" t="n">
        <f aca="false">INDEX(Routes!$M$6:$M$9,$C106)*T106*F106</f>
        <v>7</v>
      </c>
      <c r="W106" s="77" t="n">
        <f aca="false">INDEX(Routes!$H$6:$H$9,$C106)*2</f>
        <v>3</v>
      </c>
      <c r="X106" s="71" t="n">
        <f aca="false">(U106+V106+W106)*ConsPort</f>
        <v>120</v>
      </c>
      <c r="Y106" s="67" t="n">
        <f aca="false">R106*D106*VLSFO_Mult+(S106+X106)*D106*MGO_Mult</f>
        <v>854242.5</v>
      </c>
      <c r="Z106" s="67" t="n">
        <f aca="false">(INDEX(Routes!$N$6:$N$9,$C106)+AN106+MIN(AC106*INDEX(Routes!$T$6:$T$9,$C106),INDEX(Routes!$V$6:$V$9,$C106))+INDEX(Routes!$O$6:$O$9,$C106)+AO106+MIN(AC106*INDEX(Routes!$U$6:$U$9,$C106),INDEX(Routes!$W$6:$W$9,$C106))+IF(P106=1,INDEX(Routes!$N$6:$N$9,$C106)+AN106+MIN(AD106*INDEX(Routes!$T$6:$T$9,$C106),INDEX(Routes!$V$6:$V$9,$C106))+INDEX(Routes!$O$6:$O$9,$C106)+AO106+MIN(AD106*INDEX(Routes!$U$6:$U$9,$C106),INDEX(Routes!$W$6:$W$9,$C106)),0))*J106</f>
        <v>260742</v>
      </c>
      <c r="AA106" s="67" t="n">
        <f aca="false">INDEX(Routes!$R$6:$R$9,$C106)+IF(P106=1,INDEX(Routes!$R$6:$R$9,$C106),INDEX(Routes!$S$6:$S$9,$C106))</f>
        <v>426920</v>
      </c>
      <c r="AB106" s="67" t="n">
        <f aca="false">((R106*CO2_VLSFO+S106*CO2_MGO)*INDEX(Routes!$I$6:$I$9,$C106)+(U106*INDEX(Routes!$P$6:$P$9,$C106)+V106*INDEX(Routes!$Q$6:$Q$9,$C106))*ConsPort*CO2_MGO)*PhaseIn*K106*FX</f>
        <v>0</v>
      </c>
      <c r="AC106" s="71" t="n">
        <f aca="false">Capacity*G106</f>
        <v>30600</v>
      </c>
      <c r="AD106" s="71" t="n">
        <f aca="false">Capacity*H106</f>
        <v>18000</v>
      </c>
      <c r="AE106" s="82" t="n">
        <f aca="false">INDEX(Routes!$J$6:$J$9,$C106)*E106</f>
        <v>92</v>
      </c>
      <c r="AF106" s="82" t="n">
        <f aca="false">INDEX(Routes!$K$6:$K$9,$C106)*E106</f>
        <v>52</v>
      </c>
      <c r="AG106" s="67" t="n">
        <f aca="false">AC106*AE106+AD106*AF106</f>
        <v>3751200</v>
      </c>
      <c r="AH106" s="67" t="n">
        <f aca="false">AG106*Commission</f>
        <v>93780</v>
      </c>
      <c r="AI106" s="67" t="n">
        <f aca="false">Y106+Z106+AA106+AB106+MiscVoy</f>
        <v>1566904.5</v>
      </c>
      <c r="AJ106" s="77" t="n">
        <f aca="false">N106+U106+V106+W106</f>
        <v>82.5462962962963</v>
      </c>
      <c r="AK106" s="94" t="n">
        <f aca="false">(AG106-AH106-AI106)/AJ106</f>
        <v>25325.3700504767</v>
      </c>
      <c r="AL106" s="67" t="n">
        <f aca="false">AG106-AH106-AI106-Benchmark*AJ106</f>
        <v>604682.166666667</v>
      </c>
      <c r="AM106" s="82" t="n">
        <f aca="false">IF(AC106&gt;0,((Benchmark*AJ106+AI106)/(1-Commission)-AD106*AF106)/AC106,0)</f>
        <v>71.7324562873583</v>
      </c>
      <c r="AN106" s="67" t="n">
        <f aca="false">LOA_ft*Port_Tariffs!$C$9*IF((INDEX(Routes!$L$6:$L$9,$C106)*INDEX(Routes!$X$6:$X$9,$C106)*F106)&lt;=2,(INDEX(Routes!$L$6:$L$9,$C106)*INDEX(Routes!$X$6:$X$9,$C106)*F106),IF((INDEX(Routes!$L$6:$L$9,$C106)*INDEX(Routes!$X$6:$X$9,$C106)*F106)&lt;=3,2+0.9*((INDEX(Routes!$L$6:$L$9,$C106)*INDEX(Routes!$X$6:$X$9,$C106)*F106)-2),IF((INDEX(Routes!$L$6:$L$9,$C106)*INDEX(Routes!$X$6:$X$9,$C106)*F106)&lt;=4,2.9+0.75*((INDEX(Routes!$L$6:$L$9,$C106)*INDEX(Routes!$X$6:$X$9,$C106)*F106)-3),IF((INDEX(Routes!$L$6:$L$9,$C106)*INDEX(Routes!$X$6:$X$9,$C106)*F106)&lt;=5,3.65+0.6*((INDEX(Routes!$L$6:$L$9,$C106)*INDEX(Routes!$X$6:$X$9,$C106)*F106)-4),4.25+0.5*((INDEX(Routes!$L$6:$L$9,$C106)*INDEX(Routes!$X$6:$X$9,$C106)*F106)-5)))))</f>
        <v>19557.6</v>
      </c>
      <c r="AO106" s="67" t="n">
        <f aca="false">LOA_ft*Port_Tariffs!$C$9*IF((INDEX(Routes!$M$6:$M$9,$C106)*INDEX(Routes!$Y$6:$Y$9,$C106)*F106)&lt;=2,(INDEX(Routes!$M$6:$M$9,$C106)*INDEX(Routes!$Y$6:$Y$9,$C106)*F106),IF((INDEX(Routes!$M$6:$M$9,$C106)*INDEX(Routes!$Y$6:$Y$9,$C106)*F106)&lt;=3,2+0.9*((INDEX(Routes!$M$6:$M$9,$C106)*INDEX(Routes!$Y$6:$Y$9,$C106)*F106)-2),IF((INDEX(Routes!$M$6:$M$9,$C106)*INDEX(Routes!$Y$6:$Y$9,$C106)*F106)&lt;=4,2.9+0.75*((INDEX(Routes!$M$6:$M$9,$C106)*INDEX(Routes!$Y$6:$Y$9,$C106)*F106)-3),IF((INDEX(Routes!$M$6:$M$9,$C106)*INDEX(Routes!$Y$6:$Y$9,$C106)*F106)&lt;=5,3.65+0.6*((INDEX(Routes!$M$6:$M$9,$C106)*INDEX(Routes!$Y$6:$Y$9,$C106)*F106)-4),4.25+0.5*((INDEX(Routes!$M$6:$M$9,$C106)*INDEX(Routes!$Y$6:$Y$9,$C106)*F106)-5)))))</f>
        <v>0</v>
      </c>
    </row>
    <row r="107" customFormat="false" ht="15" hidden="false" customHeight="false" outlineLevel="0" collapsed="false">
      <c r="A107" s="2" t="s">
        <v>603</v>
      </c>
      <c r="B107" s="2" t="s">
        <v>592</v>
      </c>
      <c r="C107" s="13" t="n">
        <v>2</v>
      </c>
      <c r="D107" s="70" t="n">
        <v>70</v>
      </c>
      <c r="E107" s="88" t="n">
        <f aca="false">FreightMult</f>
        <v>1</v>
      </c>
      <c r="F107" s="88" t="n">
        <f aca="false">PortMult</f>
        <v>1</v>
      </c>
      <c r="G107" s="89" t="n">
        <f aca="false">UtilFH</f>
        <v>0.85</v>
      </c>
      <c r="H107" s="89" t="n">
        <f aca="false">UtilBH</f>
        <v>0.5</v>
      </c>
      <c r="I107" s="90" t="n">
        <f aca="false">Speed</f>
        <v>13.5</v>
      </c>
      <c r="J107" s="88" t="n">
        <f aca="false">PortCostMult</f>
        <v>1</v>
      </c>
      <c r="K107" s="90" t="n">
        <f aca="false">EUA</f>
        <v>75</v>
      </c>
      <c r="L107" s="71" t="n">
        <f aca="false">INDEX(Routes!$E$6:$E$9,$C107)</f>
        <v>9650</v>
      </c>
      <c r="M107" s="72" t="n">
        <f aca="false">INDEX(Routes!$F$6:$F$9,$C107)/L107</f>
        <v>0.0207253886010363</v>
      </c>
      <c r="N107" s="77" t="n">
        <f aca="false">2*L107*(1+SeaMargin)/(I107*24)</f>
        <v>62.5462962962963</v>
      </c>
      <c r="O107" s="84" t="n">
        <f aca="false">(I107/RefSpeed)^SpeedExp</f>
        <v>1</v>
      </c>
      <c r="P107" s="2" t="n">
        <f aca="false">IF(H107&gt;0,1,0)</f>
        <v>1</v>
      </c>
      <c r="Q107" s="71" t="n">
        <f aca="false">N107/2*O107*(ConsLaden+IF(P107=1,ConsLaden,ConsBallast))</f>
        <v>1688.75</v>
      </c>
      <c r="R107" s="71" t="n">
        <f aca="false">Q107*(1-M107)</f>
        <v>1653.75</v>
      </c>
      <c r="S107" s="71" t="n">
        <f aca="false">Q107*M107</f>
        <v>35</v>
      </c>
      <c r="T107" s="2" t="n">
        <f aca="false">1+P107</f>
        <v>2</v>
      </c>
      <c r="U107" s="77" t="n">
        <f aca="false">INDEX(Routes!$L$6:$L$9,$C107)*T107*F107</f>
        <v>10</v>
      </c>
      <c r="V107" s="77" t="n">
        <f aca="false">INDEX(Routes!$M$6:$M$9,$C107)*T107*F107</f>
        <v>7</v>
      </c>
      <c r="W107" s="77" t="n">
        <f aca="false">INDEX(Routes!$H$6:$H$9,$C107)*2</f>
        <v>3</v>
      </c>
      <c r="X107" s="71" t="n">
        <f aca="false">(U107+V107+W107)*ConsPort</f>
        <v>120</v>
      </c>
      <c r="Y107" s="67" t="n">
        <f aca="false">R107*D107*VLSFO_Mult+(S107+X107)*D107*MGO_Mult</f>
        <v>996616.25</v>
      </c>
      <c r="Z107" s="67" t="n">
        <f aca="false">(INDEX(Routes!$N$6:$N$9,$C107)+AN107+MIN(AC107*INDEX(Routes!$T$6:$T$9,$C107),INDEX(Routes!$V$6:$V$9,$C107))+INDEX(Routes!$O$6:$O$9,$C107)+AO107+MIN(AC107*INDEX(Routes!$U$6:$U$9,$C107),INDEX(Routes!$W$6:$W$9,$C107))+IF(P107=1,INDEX(Routes!$N$6:$N$9,$C107)+AN107+MIN(AD107*INDEX(Routes!$T$6:$T$9,$C107),INDEX(Routes!$V$6:$V$9,$C107))+INDEX(Routes!$O$6:$O$9,$C107)+AO107+MIN(AD107*INDEX(Routes!$U$6:$U$9,$C107),INDEX(Routes!$W$6:$W$9,$C107)),0))*J107</f>
        <v>260742</v>
      </c>
      <c r="AA107" s="67" t="n">
        <f aca="false">INDEX(Routes!$R$6:$R$9,$C107)+IF(P107=1,INDEX(Routes!$R$6:$R$9,$C107),INDEX(Routes!$S$6:$S$9,$C107))</f>
        <v>426920</v>
      </c>
      <c r="AB107" s="67" t="n">
        <f aca="false">((R107*CO2_VLSFO+S107*CO2_MGO)*INDEX(Routes!$I$6:$I$9,$C107)+(U107*INDEX(Routes!$P$6:$P$9,$C107)+V107*INDEX(Routes!$Q$6:$Q$9,$C107))*ConsPort*CO2_MGO)*PhaseIn*K107*FX</f>
        <v>0</v>
      </c>
      <c r="AC107" s="71" t="n">
        <f aca="false">Capacity*G107</f>
        <v>30600</v>
      </c>
      <c r="AD107" s="71" t="n">
        <f aca="false">Capacity*H107</f>
        <v>18000</v>
      </c>
      <c r="AE107" s="82" t="n">
        <f aca="false">INDEX(Routes!$J$6:$J$9,$C107)*E107</f>
        <v>92</v>
      </c>
      <c r="AF107" s="82" t="n">
        <f aca="false">INDEX(Routes!$K$6:$K$9,$C107)*E107</f>
        <v>52</v>
      </c>
      <c r="AG107" s="67" t="n">
        <f aca="false">AC107*AE107+AD107*AF107</f>
        <v>3751200</v>
      </c>
      <c r="AH107" s="67" t="n">
        <f aca="false">AG107*Commission</f>
        <v>93780</v>
      </c>
      <c r="AI107" s="67" t="n">
        <f aca="false">Y107+Z107+AA107+AB107+MiscVoy</f>
        <v>1709278.25</v>
      </c>
      <c r="AJ107" s="77" t="n">
        <f aca="false">N107+U107+V107+W107</f>
        <v>82.5462962962963</v>
      </c>
      <c r="AK107" s="94" t="n">
        <f aca="false">(AG107-AH107-AI107)/AJ107</f>
        <v>23600.59551318</v>
      </c>
      <c r="AL107" s="67" t="n">
        <f aca="false">AG107-AH107-AI107-Benchmark*AJ107</f>
        <v>462308.416666667</v>
      </c>
      <c r="AM107" s="82" t="n">
        <f aca="false">IF(AC107&gt;0,((Benchmark*AJ107+AI107)/(1-Commission)-AD107*AF107)/AC107,0)</f>
        <v>76.5044941623373</v>
      </c>
      <c r="AN107" s="67" t="n">
        <f aca="false">LOA_ft*Port_Tariffs!$C$9*IF((INDEX(Routes!$L$6:$L$9,$C107)*INDEX(Routes!$X$6:$X$9,$C107)*F107)&lt;=2,(INDEX(Routes!$L$6:$L$9,$C107)*INDEX(Routes!$X$6:$X$9,$C107)*F107),IF((INDEX(Routes!$L$6:$L$9,$C107)*INDEX(Routes!$X$6:$X$9,$C107)*F107)&lt;=3,2+0.9*((INDEX(Routes!$L$6:$L$9,$C107)*INDEX(Routes!$X$6:$X$9,$C107)*F107)-2),IF((INDEX(Routes!$L$6:$L$9,$C107)*INDEX(Routes!$X$6:$X$9,$C107)*F107)&lt;=4,2.9+0.75*((INDEX(Routes!$L$6:$L$9,$C107)*INDEX(Routes!$X$6:$X$9,$C107)*F107)-3),IF((INDEX(Routes!$L$6:$L$9,$C107)*INDEX(Routes!$X$6:$X$9,$C107)*F107)&lt;=5,3.65+0.6*((INDEX(Routes!$L$6:$L$9,$C107)*INDEX(Routes!$X$6:$X$9,$C107)*F107)-4),4.25+0.5*((INDEX(Routes!$L$6:$L$9,$C107)*INDEX(Routes!$X$6:$X$9,$C107)*F107)-5)))))</f>
        <v>19557.6</v>
      </c>
      <c r="AO107" s="67" t="n">
        <f aca="false">LOA_ft*Port_Tariffs!$C$9*IF((INDEX(Routes!$M$6:$M$9,$C107)*INDEX(Routes!$Y$6:$Y$9,$C107)*F107)&lt;=2,(INDEX(Routes!$M$6:$M$9,$C107)*INDEX(Routes!$Y$6:$Y$9,$C107)*F107),IF((INDEX(Routes!$M$6:$M$9,$C107)*INDEX(Routes!$Y$6:$Y$9,$C107)*F107)&lt;=3,2+0.9*((INDEX(Routes!$M$6:$M$9,$C107)*INDEX(Routes!$Y$6:$Y$9,$C107)*F107)-2),IF((INDEX(Routes!$M$6:$M$9,$C107)*INDEX(Routes!$Y$6:$Y$9,$C107)*F107)&lt;=4,2.9+0.75*((INDEX(Routes!$M$6:$M$9,$C107)*INDEX(Routes!$Y$6:$Y$9,$C107)*F107)-3),IF((INDEX(Routes!$M$6:$M$9,$C107)*INDEX(Routes!$Y$6:$Y$9,$C107)*F107)&lt;=5,3.65+0.6*((INDEX(Routes!$M$6:$M$9,$C107)*INDEX(Routes!$Y$6:$Y$9,$C107)*F107)-4),4.25+0.5*((INDEX(Routes!$M$6:$M$9,$C107)*INDEX(Routes!$Y$6:$Y$9,$C107)*F107)-5)))))</f>
        <v>0</v>
      </c>
    </row>
    <row r="108" customFormat="false" ht="15" hidden="false" customHeight="false" outlineLevel="0" collapsed="false">
      <c r="A108" s="2" t="s">
        <v>604</v>
      </c>
      <c r="B108" s="2" t="s">
        <v>592</v>
      </c>
      <c r="C108" s="13" t="n">
        <v>2</v>
      </c>
      <c r="D108" s="70" t="n">
        <v>80</v>
      </c>
      <c r="E108" s="88" t="n">
        <f aca="false">FreightMult</f>
        <v>1</v>
      </c>
      <c r="F108" s="88" t="n">
        <f aca="false">PortMult</f>
        <v>1</v>
      </c>
      <c r="G108" s="89" t="n">
        <f aca="false">UtilFH</f>
        <v>0.85</v>
      </c>
      <c r="H108" s="89" t="n">
        <f aca="false">UtilBH</f>
        <v>0.5</v>
      </c>
      <c r="I108" s="90" t="n">
        <f aca="false">Speed</f>
        <v>13.5</v>
      </c>
      <c r="J108" s="88" t="n">
        <f aca="false">PortCostMult</f>
        <v>1</v>
      </c>
      <c r="K108" s="90" t="n">
        <f aca="false">EUA</f>
        <v>75</v>
      </c>
      <c r="L108" s="71" t="n">
        <f aca="false">INDEX(Routes!$E$6:$E$9,$C108)</f>
        <v>9650</v>
      </c>
      <c r="M108" s="72" t="n">
        <f aca="false">INDEX(Routes!$F$6:$F$9,$C108)/L108</f>
        <v>0.0207253886010363</v>
      </c>
      <c r="N108" s="77" t="n">
        <f aca="false">2*L108*(1+SeaMargin)/(I108*24)</f>
        <v>62.5462962962963</v>
      </c>
      <c r="O108" s="84" t="n">
        <f aca="false">(I108/RefSpeed)^SpeedExp</f>
        <v>1</v>
      </c>
      <c r="P108" s="2" t="n">
        <f aca="false">IF(H108&gt;0,1,0)</f>
        <v>1</v>
      </c>
      <c r="Q108" s="71" t="n">
        <f aca="false">N108/2*O108*(ConsLaden+IF(P108=1,ConsLaden,ConsBallast))</f>
        <v>1688.75</v>
      </c>
      <c r="R108" s="71" t="n">
        <f aca="false">Q108*(1-M108)</f>
        <v>1653.75</v>
      </c>
      <c r="S108" s="71" t="n">
        <f aca="false">Q108*M108</f>
        <v>35</v>
      </c>
      <c r="T108" s="2" t="n">
        <f aca="false">1+P108</f>
        <v>2</v>
      </c>
      <c r="U108" s="77" t="n">
        <f aca="false">INDEX(Routes!$L$6:$L$9,$C108)*T108*F108</f>
        <v>10</v>
      </c>
      <c r="V108" s="77" t="n">
        <f aca="false">INDEX(Routes!$M$6:$M$9,$C108)*T108*F108</f>
        <v>7</v>
      </c>
      <c r="W108" s="77" t="n">
        <f aca="false">INDEX(Routes!$H$6:$H$9,$C108)*2</f>
        <v>3</v>
      </c>
      <c r="X108" s="71" t="n">
        <f aca="false">(U108+V108+W108)*ConsPort</f>
        <v>120</v>
      </c>
      <c r="Y108" s="67" t="n">
        <f aca="false">R108*D108*VLSFO_Mult+(S108+X108)*D108*MGO_Mult</f>
        <v>1138990</v>
      </c>
      <c r="Z108" s="67" t="n">
        <f aca="false">(INDEX(Routes!$N$6:$N$9,$C108)+AN108+MIN(AC108*INDEX(Routes!$T$6:$T$9,$C108),INDEX(Routes!$V$6:$V$9,$C108))+INDEX(Routes!$O$6:$O$9,$C108)+AO108+MIN(AC108*INDEX(Routes!$U$6:$U$9,$C108),INDEX(Routes!$W$6:$W$9,$C108))+IF(P108=1,INDEX(Routes!$N$6:$N$9,$C108)+AN108+MIN(AD108*INDEX(Routes!$T$6:$T$9,$C108),INDEX(Routes!$V$6:$V$9,$C108))+INDEX(Routes!$O$6:$O$9,$C108)+AO108+MIN(AD108*INDEX(Routes!$U$6:$U$9,$C108),INDEX(Routes!$W$6:$W$9,$C108)),0))*J108</f>
        <v>260742</v>
      </c>
      <c r="AA108" s="67" t="n">
        <f aca="false">INDEX(Routes!$R$6:$R$9,$C108)+IF(P108=1,INDEX(Routes!$R$6:$R$9,$C108),INDEX(Routes!$S$6:$S$9,$C108))</f>
        <v>426920</v>
      </c>
      <c r="AB108" s="67" t="n">
        <f aca="false">((R108*CO2_VLSFO+S108*CO2_MGO)*INDEX(Routes!$I$6:$I$9,$C108)+(U108*INDEX(Routes!$P$6:$P$9,$C108)+V108*INDEX(Routes!$Q$6:$Q$9,$C108))*ConsPort*CO2_MGO)*PhaseIn*K108*FX</f>
        <v>0</v>
      </c>
      <c r="AC108" s="71" t="n">
        <f aca="false">Capacity*G108</f>
        <v>30600</v>
      </c>
      <c r="AD108" s="71" t="n">
        <f aca="false">Capacity*H108</f>
        <v>18000</v>
      </c>
      <c r="AE108" s="82" t="n">
        <f aca="false">INDEX(Routes!$J$6:$J$9,$C108)*E108</f>
        <v>92</v>
      </c>
      <c r="AF108" s="82" t="n">
        <f aca="false">INDEX(Routes!$K$6:$K$9,$C108)*E108</f>
        <v>52</v>
      </c>
      <c r="AG108" s="67" t="n">
        <f aca="false">AC108*AE108+AD108*AF108</f>
        <v>3751200</v>
      </c>
      <c r="AH108" s="67" t="n">
        <f aca="false">AG108*Commission</f>
        <v>93780</v>
      </c>
      <c r="AI108" s="67" t="n">
        <f aca="false">Y108+Z108+AA108+AB108+MiscVoy</f>
        <v>1851652</v>
      </c>
      <c r="AJ108" s="77" t="n">
        <f aca="false">N108+U108+V108+W108</f>
        <v>82.5462962962963</v>
      </c>
      <c r="AK108" s="94" t="n">
        <f aca="false">(AG108-AH108-AI108)/AJ108</f>
        <v>21875.8209758833</v>
      </c>
      <c r="AL108" s="67" t="n">
        <f aca="false">AG108-AH108-AI108-Benchmark*AJ108</f>
        <v>319934.666666667</v>
      </c>
      <c r="AM108" s="82" t="n">
        <f aca="false">IF(AC108&gt;0,((Benchmark*AJ108+AI108)/(1-Commission)-AD108*AF108)/AC108,0)</f>
        <v>81.2765320373164</v>
      </c>
      <c r="AN108" s="67" t="n">
        <f aca="false">LOA_ft*Port_Tariffs!$C$9*IF((INDEX(Routes!$L$6:$L$9,$C108)*INDEX(Routes!$X$6:$X$9,$C108)*F108)&lt;=2,(INDEX(Routes!$L$6:$L$9,$C108)*INDEX(Routes!$X$6:$X$9,$C108)*F108),IF((INDEX(Routes!$L$6:$L$9,$C108)*INDEX(Routes!$X$6:$X$9,$C108)*F108)&lt;=3,2+0.9*((INDEX(Routes!$L$6:$L$9,$C108)*INDEX(Routes!$X$6:$X$9,$C108)*F108)-2),IF((INDEX(Routes!$L$6:$L$9,$C108)*INDEX(Routes!$X$6:$X$9,$C108)*F108)&lt;=4,2.9+0.75*((INDEX(Routes!$L$6:$L$9,$C108)*INDEX(Routes!$X$6:$X$9,$C108)*F108)-3),IF((INDEX(Routes!$L$6:$L$9,$C108)*INDEX(Routes!$X$6:$X$9,$C108)*F108)&lt;=5,3.65+0.6*((INDEX(Routes!$L$6:$L$9,$C108)*INDEX(Routes!$X$6:$X$9,$C108)*F108)-4),4.25+0.5*((INDEX(Routes!$L$6:$L$9,$C108)*INDEX(Routes!$X$6:$X$9,$C108)*F108)-5)))))</f>
        <v>19557.6</v>
      </c>
      <c r="AO108" s="67" t="n">
        <f aca="false">LOA_ft*Port_Tariffs!$C$9*IF((INDEX(Routes!$M$6:$M$9,$C108)*INDEX(Routes!$Y$6:$Y$9,$C108)*F108)&lt;=2,(INDEX(Routes!$M$6:$M$9,$C108)*INDEX(Routes!$Y$6:$Y$9,$C108)*F108),IF((INDEX(Routes!$M$6:$M$9,$C108)*INDEX(Routes!$Y$6:$Y$9,$C108)*F108)&lt;=3,2+0.9*((INDEX(Routes!$M$6:$M$9,$C108)*INDEX(Routes!$Y$6:$Y$9,$C108)*F108)-2),IF((INDEX(Routes!$M$6:$M$9,$C108)*INDEX(Routes!$Y$6:$Y$9,$C108)*F108)&lt;=4,2.9+0.75*((INDEX(Routes!$M$6:$M$9,$C108)*INDEX(Routes!$Y$6:$Y$9,$C108)*F108)-3),IF((INDEX(Routes!$M$6:$M$9,$C108)*INDEX(Routes!$Y$6:$Y$9,$C108)*F108)&lt;=5,3.65+0.6*((INDEX(Routes!$M$6:$M$9,$C108)*INDEX(Routes!$Y$6:$Y$9,$C108)*F108)-4),4.25+0.5*((INDEX(Routes!$M$6:$M$9,$C108)*INDEX(Routes!$Y$6:$Y$9,$C108)*F108)-5)))))</f>
        <v>0</v>
      </c>
    </row>
    <row r="109" customFormat="false" ht="15" hidden="false" customHeight="false" outlineLevel="0" collapsed="false">
      <c r="A109" s="2" t="s">
        <v>605</v>
      </c>
      <c r="B109" s="2" t="s">
        <v>592</v>
      </c>
      <c r="C109" s="13" t="n">
        <v>2</v>
      </c>
      <c r="D109" s="70" t="n">
        <v>90</v>
      </c>
      <c r="E109" s="88" t="n">
        <f aca="false">FreightMult</f>
        <v>1</v>
      </c>
      <c r="F109" s="88" t="n">
        <f aca="false">PortMult</f>
        <v>1</v>
      </c>
      <c r="G109" s="89" t="n">
        <f aca="false">UtilFH</f>
        <v>0.85</v>
      </c>
      <c r="H109" s="89" t="n">
        <f aca="false">UtilBH</f>
        <v>0.5</v>
      </c>
      <c r="I109" s="90" t="n">
        <f aca="false">Speed</f>
        <v>13.5</v>
      </c>
      <c r="J109" s="88" t="n">
        <f aca="false">PortCostMult</f>
        <v>1</v>
      </c>
      <c r="K109" s="90" t="n">
        <f aca="false">EUA</f>
        <v>75</v>
      </c>
      <c r="L109" s="71" t="n">
        <f aca="false">INDEX(Routes!$E$6:$E$9,$C109)</f>
        <v>9650</v>
      </c>
      <c r="M109" s="72" t="n">
        <f aca="false">INDEX(Routes!$F$6:$F$9,$C109)/L109</f>
        <v>0.0207253886010363</v>
      </c>
      <c r="N109" s="77" t="n">
        <f aca="false">2*L109*(1+SeaMargin)/(I109*24)</f>
        <v>62.5462962962963</v>
      </c>
      <c r="O109" s="84" t="n">
        <f aca="false">(I109/RefSpeed)^SpeedExp</f>
        <v>1</v>
      </c>
      <c r="P109" s="2" t="n">
        <f aca="false">IF(H109&gt;0,1,0)</f>
        <v>1</v>
      </c>
      <c r="Q109" s="71" t="n">
        <f aca="false">N109/2*O109*(ConsLaden+IF(P109=1,ConsLaden,ConsBallast))</f>
        <v>1688.75</v>
      </c>
      <c r="R109" s="71" t="n">
        <f aca="false">Q109*(1-M109)</f>
        <v>1653.75</v>
      </c>
      <c r="S109" s="71" t="n">
        <f aca="false">Q109*M109</f>
        <v>35</v>
      </c>
      <c r="T109" s="2" t="n">
        <f aca="false">1+P109</f>
        <v>2</v>
      </c>
      <c r="U109" s="77" t="n">
        <f aca="false">INDEX(Routes!$L$6:$L$9,$C109)*T109*F109</f>
        <v>10</v>
      </c>
      <c r="V109" s="77" t="n">
        <f aca="false">INDEX(Routes!$M$6:$M$9,$C109)*T109*F109</f>
        <v>7</v>
      </c>
      <c r="W109" s="77" t="n">
        <f aca="false">INDEX(Routes!$H$6:$H$9,$C109)*2</f>
        <v>3</v>
      </c>
      <c r="X109" s="71" t="n">
        <f aca="false">(U109+V109+W109)*ConsPort</f>
        <v>120</v>
      </c>
      <c r="Y109" s="67" t="n">
        <f aca="false">R109*D109*VLSFO_Mult+(S109+X109)*D109*MGO_Mult</f>
        <v>1281363.75</v>
      </c>
      <c r="Z109" s="67" t="n">
        <f aca="false">(INDEX(Routes!$N$6:$N$9,$C109)+AN109+MIN(AC109*INDEX(Routes!$T$6:$T$9,$C109),INDEX(Routes!$V$6:$V$9,$C109))+INDEX(Routes!$O$6:$O$9,$C109)+AO109+MIN(AC109*INDEX(Routes!$U$6:$U$9,$C109),INDEX(Routes!$W$6:$W$9,$C109))+IF(P109=1,INDEX(Routes!$N$6:$N$9,$C109)+AN109+MIN(AD109*INDEX(Routes!$T$6:$T$9,$C109),INDEX(Routes!$V$6:$V$9,$C109))+INDEX(Routes!$O$6:$O$9,$C109)+AO109+MIN(AD109*INDEX(Routes!$U$6:$U$9,$C109),INDEX(Routes!$W$6:$W$9,$C109)),0))*J109</f>
        <v>260742</v>
      </c>
      <c r="AA109" s="67" t="n">
        <f aca="false">INDEX(Routes!$R$6:$R$9,$C109)+IF(P109=1,INDEX(Routes!$R$6:$R$9,$C109),INDEX(Routes!$S$6:$S$9,$C109))</f>
        <v>426920</v>
      </c>
      <c r="AB109" s="67" t="n">
        <f aca="false">((R109*CO2_VLSFO+S109*CO2_MGO)*INDEX(Routes!$I$6:$I$9,$C109)+(U109*INDEX(Routes!$P$6:$P$9,$C109)+V109*INDEX(Routes!$Q$6:$Q$9,$C109))*ConsPort*CO2_MGO)*PhaseIn*K109*FX</f>
        <v>0</v>
      </c>
      <c r="AC109" s="71" t="n">
        <f aca="false">Capacity*G109</f>
        <v>30600</v>
      </c>
      <c r="AD109" s="71" t="n">
        <f aca="false">Capacity*H109</f>
        <v>18000</v>
      </c>
      <c r="AE109" s="82" t="n">
        <f aca="false">INDEX(Routes!$J$6:$J$9,$C109)*E109</f>
        <v>92</v>
      </c>
      <c r="AF109" s="82" t="n">
        <f aca="false">INDEX(Routes!$K$6:$K$9,$C109)*E109</f>
        <v>52</v>
      </c>
      <c r="AG109" s="67" t="n">
        <f aca="false">AC109*AE109+AD109*AF109</f>
        <v>3751200</v>
      </c>
      <c r="AH109" s="67" t="n">
        <f aca="false">AG109*Commission</f>
        <v>93780</v>
      </c>
      <c r="AI109" s="67" t="n">
        <f aca="false">Y109+Z109+AA109+AB109+MiscVoy</f>
        <v>1994025.75</v>
      </c>
      <c r="AJ109" s="77" t="n">
        <f aca="false">N109+U109+V109+W109</f>
        <v>82.5462962962963</v>
      </c>
      <c r="AK109" s="94" t="n">
        <f aca="false">(AG109-AH109-AI109)/AJ109</f>
        <v>20151.0464385867</v>
      </c>
      <c r="AL109" s="67" t="n">
        <f aca="false">AG109-AH109-AI109-Benchmark*AJ109</f>
        <v>177560.916666667</v>
      </c>
      <c r="AM109" s="82" t="n">
        <f aca="false">IF(AC109&gt;0,((Benchmark*AJ109+AI109)/(1-Commission)-AD109*AF109)/AC109,0)</f>
        <v>86.0485699122954</v>
      </c>
      <c r="AN109" s="67" t="n">
        <f aca="false">LOA_ft*Port_Tariffs!$C$9*IF((INDEX(Routes!$L$6:$L$9,$C109)*INDEX(Routes!$X$6:$X$9,$C109)*F109)&lt;=2,(INDEX(Routes!$L$6:$L$9,$C109)*INDEX(Routes!$X$6:$X$9,$C109)*F109),IF((INDEX(Routes!$L$6:$L$9,$C109)*INDEX(Routes!$X$6:$X$9,$C109)*F109)&lt;=3,2+0.9*((INDEX(Routes!$L$6:$L$9,$C109)*INDEX(Routes!$X$6:$X$9,$C109)*F109)-2),IF((INDEX(Routes!$L$6:$L$9,$C109)*INDEX(Routes!$X$6:$X$9,$C109)*F109)&lt;=4,2.9+0.75*((INDEX(Routes!$L$6:$L$9,$C109)*INDEX(Routes!$X$6:$X$9,$C109)*F109)-3),IF((INDEX(Routes!$L$6:$L$9,$C109)*INDEX(Routes!$X$6:$X$9,$C109)*F109)&lt;=5,3.65+0.6*((INDEX(Routes!$L$6:$L$9,$C109)*INDEX(Routes!$X$6:$X$9,$C109)*F109)-4),4.25+0.5*((INDEX(Routes!$L$6:$L$9,$C109)*INDEX(Routes!$X$6:$X$9,$C109)*F109)-5)))))</f>
        <v>19557.6</v>
      </c>
      <c r="AO109" s="67" t="n">
        <f aca="false">LOA_ft*Port_Tariffs!$C$9*IF((INDEX(Routes!$M$6:$M$9,$C109)*INDEX(Routes!$Y$6:$Y$9,$C109)*F109)&lt;=2,(INDEX(Routes!$M$6:$M$9,$C109)*INDEX(Routes!$Y$6:$Y$9,$C109)*F109),IF((INDEX(Routes!$M$6:$M$9,$C109)*INDEX(Routes!$Y$6:$Y$9,$C109)*F109)&lt;=3,2+0.9*((INDEX(Routes!$M$6:$M$9,$C109)*INDEX(Routes!$Y$6:$Y$9,$C109)*F109)-2),IF((INDEX(Routes!$M$6:$M$9,$C109)*INDEX(Routes!$Y$6:$Y$9,$C109)*F109)&lt;=4,2.9+0.75*((INDEX(Routes!$M$6:$M$9,$C109)*INDEX(Routes!$Y$6:$Y$9,$C109)*F109)-3),IF((INDEX(Routes!$M$6:$M$9,$C109)*INDEX(Routes!$Y$6:$Y$9,$C109)*F109)&lt;=5,3.65+0.6*((INDEX(Routes!$M$6:$M$9,$C109)*INDEX(Routes!$Y$6:$Y$9,$C109)*F109)-4),4.25+0.5*((INDEX(Routes!$M$6:$M$9,$C109)*INDEX(Routes!$Y$6:$Y$9,$C109)*F109)-5)))))</f>
        <v>0</v>
      </c>
    </row>
    <row r="110" customFormat="false" ht="15" hidden="false" customHeight="false" outlineLevel="0" collapsed="false">
      <c r="A110" s="2" t="s">
        <v>606</v>
      </c>
      <c r="B110" s="2" t="s">
        <v>592</v>
      </c>
      <c r="C110" s="13" t="n">
        <v>2</v>
      </c>
      <c r="D110" s="70" t="n">
        <v>100</v>
      </c>
      <c r="E110" s="88" t="n">
        <f aca="false">FreightMult</f>
        <v>1</v>
      </c>
      <c r="F110" s="88" t="n">
        <f aca="false">PortMult</f>
        <v>1</v>
      </c>
      <c r="G110" s="89" t="n">
        <f aca="false">UtilFH</f>
        <v>0.85</v>
      </c>
      <c r="H110" s="89" t="n">
        <f aca="false">UtilBH</f>
        <v>0.5</v>
      </c>
      <c r="I110" s="90" t="n">
        <f aca="false">Speed</f>
        <v>13.5</v>
      </c>
      <c r="J110" s="88" t="n">
        <f aca="false">PortCostMult</f>
        <v>1</v>
      </c>
      <c r="K110" s="90" t="n">
        <f aca="false">EUA</f>
        <v>75</v>
      </c>
      <c r="L110" s="71" t="n">
        <f aca="false">INDEX(Routes!$E$6:$E$9,$C110)</f>
        <v>9650</v>
      </c>
      <c r="M110" s="72" t="n">
        <f aca="false">INDEX(Routes!$F$6:$F$9,$C110)/L110</f>
        <v>0.0207253886010363</v>
      </c>
      <c r="N110" s="77" t="n">
        <f aca="false">2*L110*(1+SeaMargin)/(I110*24)</f>
        <v>62.5462962962963</v>
      </c>
      <c r="O110" s="84" t="n">
        <f aca="false">(I110/RefSpeed)^SpeedExp</f>
        <v>1</v>
      </c>
      <c r="P110" s="2" t="n">
        <f aca="false">IF(H110&gt;0,1,0)</f>
        <v>1</v>
      </c>
      <c r="Q110" s="71" t="n">
        <f aca="false">N110/2*O110*(ConsLaden+IF(P110=1,ConsLaden,ConsBallast))</f>
        <v>1688.75</v>
      </c>
      <c r="R110" s="71" t="n">
        <f aca="false">Q110*(1-M110)</f>
        <v>1653.75</v>
      </c>
      <c r="S110" s="71" t="n">
        <f aca="false">Q110*M110</f>
        <v>35</v>
      </c>
      <c r="T110" s="2" t="n">
        <f aca="false">1+P110</f>
        <v>2</v>
      </c>
      <c r="U110" s="77" t="n">
        <f aca="false">INDEX(Routes!$L$6:$L$9,$C110)*T110*F110</f>
        <v>10</v>
      </c>
      <c r="V110" s="77" t="n">
        <f aca="false">INDEX(Routes!$M$6:$M$9,$C110)*T110*F110</f>
        <v>7</v>
      </c>
      <c r="W110" s="77" t="n">
        <f aca="false">INDEX(Routes!$H$6:$H$9,$C110)*2</f>
        <v>3</v>
      </c>
      <c r="X110" s="71" t="n">
        <f aca="false">(U110+V110+W110)*ConsPort</f>
        <v>120</v>
      </c>
      <c r="Y110" s="67" t="n">
        <f aca="false">R110*D110*VLSFO_Mult+(S110+X110)*D110*MGO_Mult</f>
        <v>1423737.5</v>
      </c>
      <c r="Z110" s="67" t="n">
        <f aca="false">(INDEX(Routes!$N$6:$N$9,$C110)+AN110+MIN(AC110*INDEX(Routes!$T$6:$T$9,$C110),INDEX(Routes!$V$6:$V$9,$C110))+INDEX(Routes!$O$6:$O$9,$C110)+AO110+MIN(AC110*INDEX(Routes!$U$6:$U$9,$C110),INDEX(Routes!$W$6:$W$9,$C110))+IF(P110=1,INDEX(Routes!$N$6:$N$9,$C110)+AN110+MIN(AD110*INDEX(Routes!$T$6:$T$9,$C110),INDEX(Routes!$V$6:$V$9,$C110))+INDEX(Routes!$O$6:$O$9,$C110)+AO110+MIN(AD110*INDEX(Routes!$U$6:$U$9,$C110),INDEX(Routes!$W$6:$W$9,$C110)),0))*J110</f>
        <v>260742</v>
      </c>
      <c r="AA110" s="67" t="n">
        <f aca="false">INDEX(Routes!$R$6:$R$9,$C110)+IF(P110=1,INDEX(Routes!$R$6:$R$9,$C110),INDEX(Routes!$S$6:$S$9,$C110))</f>
        <v>426920</v>
      </c>
      <c r="AB110" s="67" t="n">
        <f aca="false">((R110*CO2_VLSFO+S110*CO2_MGO)*INDEX(Routes!$I$6:$I$9,$C110)+(U110*INDEX(Routes!$P$6:$P$9,$C110)+V110*INDEX(Routes!$Q$6:$Q$9,$C110))*ConsPort*CO2_MGO)*PhaseIn*K110*FX</f>
        <v>0</v>
      </c>
      <c r="AC110" s="71" t="n">
        <f aca="false">Capacity*G110</f>
        <v>30600</v>
      </c>
      <c r="AD110" s="71" t="n">
        <f aca="false">Capacity*H110</f>
        <v>18000</v>
      </c>
      <c r="AE110" s="82" t="n">
        <f aca="false">INDEX(Routes!$J$6:$J$9,$C110)*E110</f>
        <v>92</v>
      </c>
      <c r="AF110" s="82" t="n">
        <f aca="false">INDEX(Routes!$K$6:$K$9,$C110)*E110</f>
        <v>52</v>
      </c>
      <c r="AG110" s="67" t="n">
        <f aca="false">AC110*AE110+AD110*AF110</f>
        <v>3751200</v>
      </c>
      <c r="AH110" s="67" t="n">
        <f aca="false">AG110*Commission</f>
        <v>93780</v>
      </c>
      <c r="AI110" s="67" t="n">
        <f aca="false">Y110+Z110+AA110+AB110+MiscVoy</f>
        <v>2136399.5</v>
      </c>
      <c r="AJ110" s="77" t="n">
        <f aca="false">N110+U110+V110+W110</f>
        <v>82.5462962962963</v>
      </c>
      <c r="AK110" s="94" t="n">
        <f aca="false">(AG110-AH110-AI110)/AJ110</f>
        <v>18426.27190129</v>
      </c>
      <c r="AL110" s="67" t="n">
        <f aca="false">AG110-AH110-AI110-Benchmark*AJ110</f>
        <v>35187.1666666665</v>
      </c>
      <c r="AM110" s="82" t="n">
        <f aca="false">IF(AC110&gt;0,((Benchmark*AJ110+AI110)/(1-Commission)-AD110*AF110)/AC110,0)</f>
        <v>90.8206077872745</v>
      </c>
      <c r="AN110" s="67" t="n">
        <f aca="false">LOA_ft*Port_Tariffs!$C$9*IF((INDEX(Routes!$L$6:$L$9,$C110)*INDEX(Routes!$X$6:$X$9,$C110)*F110)&lt;=2,(INDEX(Routes!$L$6:$L$9,$C110)*INDEX(Routes!$X$6:$X$9,$C110)*F110),IF((INDEX(Routes!$L$6:$L$9,$C110)*INDEX(Routes!$X$6:$X$9,$C110)*F110)&lt;=3,2+0.9*((INDEX(Routes!$L$6:$L$9,$C110)*INDEX(Routes!$X$6:$X$9,$C110)*F110)-2),IF((INDEX(Routes!$L$6:$L$9,$C110)*INDEX(Routes!$X$6:$X$9,$C110)*F110)&lt;=4,2.9+0.75*((INDEX(Routes!$L$6:$L$9,$C110)*INDEX(Routes!$X$6:$X$9,$C110)*F110)-3),IF((INDEX(Routes!$L$6:$L$9,$C110)*INDEX(Routes!$X$6:$X$9,$C110)*F110)&lt;=5,3.65+0.6*((INDEX(Routes!$L$6:$L$9,$C110)*INDEX(Routes!$X$6:$X$9,$C110)*F110)-4),4.25+0.5*((INDEX(Routes!$L$6:$L$9,$C110)*INDEX(Routes!$X$6:$X$9,$C110)*F110)-5)))))</f>
        <v>19557.6</v>
      </c>
      <c r="AO110" s="67" t="n">
        <f aca="false">LOA_ft*Port_Tariffs!$C$9*IF((INDEX(Routes!$M$6:$M$9,$C110)*INDEX(Routes!$Y$6:$Y$9,$C110)*F110)&lt;=2,(INDEX(Routes!$M$6:$M$9,$C110)*INDEX(Routes!$Y$6:$Y$9,$C110)*F110),IF((INDEX(Routes!$M$6:$M$9,$C110)*INDEX(Routes!$Y$6:$Y$9,$C110)*F110)&lt;=3,2+0.9*((INDEX(Routes!$M$6:$M$9,$C110)*INDEX(Routes!$Y$6:$Y$9,$C110)*F110)-2),IF((INDEX(Routes!$M$6:$M$9,$C110)*INDEX(Routes!$Y$6:$Y$9,$C110)*F110)&lt;=4,2.9+0.75*((INDEX(Routes!$M$6:$M$9,$C110)*INDEX(Routes!$Y$6:$Y$9,$C110)*F110)-3),IF((INDEX(Routes!$M$6:$M$9,$C110)*INDEX(Routes!$Y$6:$Y$9,$C110)*F110)&lt;=5,3.65+0.6*((INDEX(Routes!$M$6:$M$9,$C110)*INDEX(Routes!$Y$6:$Y$9,$C110)*F110)-4),4.25+0.5*((INDEX(Routes!$M$6:$M$9,$C110)*INDEX(Routes!$Y$6:$Y$9,$C110)*F110)-5)))))</f>
        <v>0</v>
      </c>
    </row>
    <row r="111" customFormat="false" ht="15" hidden="false" customHeight="false" outlineLevel="0" collapsed="false">
      <c r="A111" s="2" t="s">
        <v>607</v>
      </c>
      <c r="B111" s="2" t="s">
        <v>592</v>
      </c>
      <c r="C111" s="13" t="n">
        <v>2</v>
      </c>
      <c r="D111" s="70" t="n">
        <v>110</v>
      </c>
      <c r="E111" s="88" t="n">
        <f aca="false">FreightMult</f>
        <v>1</v>
      </c>
      <c r="F111" s="88" t="n">
        <f aca="false">PortMult</f>
        <v>1</v>
      </c>
      <c r="G111" s="89" t="n">
        <f aca="false">UtilFH</f>
        <v>0.85</v>
      </c>
      <c r="H111" s="89" t="n">
        <f aca="false">UtilBH</f>
        <v>0.5</v>
      </c>
      <c r="I111" s="90" t="n">
        <f aca="false">Speed</f>
        <v>13.5</v>
      </c>
      <c r="J111" s="88" t="n">
        <f aca="false">PortCostMult</f>
        <v>1</v>
      </c>
      <c r="K111" s="90" t="n">
        <f aca="false">EUA</f>
        <v>75</v>
      </c>
      <c r="L111" s="71" t="n">
        <f aca="false">INDEX(Routes!$E$6:$E$9,$C111)</f>
        <v>9650</v>
      </c>
      <c r="M111" s="72" t="n">
        <f aca="false">INDEX(Routes!$F$6:$F$9,$C111)/L111</f>
        <v>0.0207253886010363</v>
      </c>
      <c r="N111" s="77" t="n">
        <f aca="false">2*L111*(1+SeaMargin)/(I111*24)</f>
        <v>62.5462962962963</v>
      </c>
      <c r="O111" s="84" t="n">
        <f aca="false">(I111/RefSpeed)^SpeedExp</f>
        <v>1</v>
      </c>
      <c r="P111" s="2" t="n">
        <f aca="false">IF(H111&gt;0,1,0)</f>
        <v>1</v>
      </c>
      <c r="Q111" s="71" t="n">
        <f aca="false">N111/2*O111*(ConsLaden+IF(P111=1,ConsLaden,ConsBallast))</f>
        <v>1688.75</v>
      </c>
      <c r="R111" s="71" t="n">
        <f aca="false">Q111*(1-M111)</f>
        <v>1653.75</v>
      </c>
      <c r="S111" s="71" t="n">
        <f aca="false">Q111*M111</f>
        <v>35</v>
      </c>
      <c r="T111" s="2" t="n">
        <f aca="false">1+P111</f>
        <v>2</v>
      </c>
      <c r="U111" s="77" t="n">
        <f aca="false">INDEX(Routes!$L$6:$L$9,$C111)*T111*F111</f>
        <v>10</v>
      </c>
      <c r="V111" s="77" t="n">
        <f aca="false">INDEX(Routes!$M$6:$M$9,$C111)*T111*F111</f>
        <v>7</v>
      </c>
      <c r="W111" s="77" t="n">
        <f aca="false">INDEX(Routes!$H$6:$H$9,$C111)*2</f>
        <v>3</v>
      </c>
      <c r="X111" s="71" t="n">
        <f aca="false">(U111+V111+W111)*ConsPort</f>
        <v>120</v>
      </c>
      <c r="Y111" s="67" t="n">
        <f aca="false">R111*D111*VLSFO_Mult+(S111+X111)*D111*MGO_Mult</f>
        <v>1566111.25</v>
      </c>
      <c r="Z111" s="67" t="n">
        <f aca="false">(INDEX(Routes!$N$6:$N$9,$C111)+AN111+MIN(AC111*INDEX(Routes!$T$6:$T$9,$C111),INDEX(Routes!$V$6:$V$9,$C111))+INDEX(Routes!$O$6:$O$9,$C111)+AO111+MIN(AC111*INDEX(Routes!$U$6:$U$9,$C111),INDEX(Routes!$W$6:$W$9,$C111))+IF(P111=1,INDEX(Routes!$N$6:$N$9,$C111)+AN111+MIN(AD111*INDEX(Routes!$T$6:$T$9,$C111),INDEX(Routes!$V$6:$V$9,$C111))+INDEX(Routes!$O$6:$O$9,$C111)+AO111+MIN(AD111*INDEX(Routes!$U$6:$U$9,$C111),INDEX(Routes!$W$6:$W$9,$C111)),0))*J111</f>
        <v>260742</v>
      </c>
      <c r="AA111" s="67" t="n">
        <f aca="false">INDEX(Routes!$R$6:$R$9,$C111)+IF(P111=1,INDEX(Routes!$R$6:$R$9,$C111),INDEX(Routes!$S$6:$S$9,$C111))</f>
        <v>426920</v>
      </c>
      <c r="AB111" s="67" t="n">
        <f aca="false">((R111*CO2_VLSFO+S111*CO2_MGO)*INDEX(Routes!$I$6:$I$9,$C111)+(U111*INDEX(Routes!$P$6:$P$9,$C111)+V111*INDEX(Routes!$Q$6:$Q$9,$C111))*ConsPort*CO2_MGO)*PhaseIn*K111*FX</f>
        <v>0</v>
      </c>
      <c r="AC111" s="71" t="n">
        <f aca="false">Capacity*G111</f>
        <v>30600</v>
      </c>
      <c r="AD111" s="71" t="n">
        <f aca="false">Capacity*H111</f>
        <v>18000</v>
      </c>
      <c r="AE111" s="82" t="n">
        <f aca="false">INDEX(Routes!$J$6:$J$9,$C111)*E111</f>
        <v>92</v>
      </c>
      <c r="AF111" s="82" t="n">
        <f aca="false">INDEX(Routes!$K$6:$K$9,$C111)*E111</f>
        <v>52</v>
      </c>
      <c r="AG111" s="67" t="n">
        <f aca="false">AC111*AE111+AD111*AF111</f>
        <v>3751200</v>
      </c>
      <c r="AH111" s="67" t="n">
        <f aca="false">AG111*Commission</f>
        <v>93780</v>
      </c>
      <c r="AI111" s="67" t="n">
        <f aca="false">Y111+Z111+AA111+AB111+MiscVoy</f>
        <v>2278773.25</v>
      </c>
      <c r="AJ111" s="77" t="n">
        <f aca="false">N111+U111+V111+W111</f>
        <v>82.5462962962963</v>
      </c>
      <c r="AK111" s="94" t="n">
        <f aca="false">(AG111-AH111-AI111)/AJ111</f>
        <v>16701.4973639933</v>
      </c>
      <c r="AL111" s="67" t="n">
        <f aca="false">AG111-AH111-AI111-Benchmark*AJ111</f>
        <v>-107186.583333333</v>
      </c>
      <c r="AM111" s="82" t="n">
        <f aca="false">IF(AC111&gt;0,((Benchmark*AJ111+AI111)/(1-Commission)-AD111*AF111)/AC111,0)</f>
        <v>95.5926456622535</v>
      </c>
      <c r="AN111" s="67" t="n">
        <f aca="false">LOA_ft*Port_Tariffs!$C$9*IF((INDEX(Routes!$L$6:$L$9,$C111)*INDEX(Routes!$X$6:$X$9,$C111)*F111)&lt;=2,(INDEX(Routes!$L$6:$L$9,$C111)*INDEX(Routes!$X$6:$X$9,$C111)*F111),IF((INDEX(Routes!$L$6:$L$9,$C111)*INDEX(Routes!$X$6:$X$9,$C111)*F111)&lt;=3,2+0.9*((INDEX(Routes!$L$6:$L$9,$C111)*INDEX(Routes!$X$6:$X$9,$C111)*F111)-2),IF((INDEX(Routes!$L$6:$L$9,$C111)*INDEX(Routes!$X$6:$X$9,$C111)*F111)&lt;=4,2.9+0.75*((INDEX(Routes!$L$6:$L$9,$C111)*INDEX(Routes!$X$6:$X$9,$C111)*F111)-3),IF((INDEX(Routes!$L$6:$L$9,$C111)*INDEX(Routes!$X$6:$X$9,$C111)*F111)&lt;=5,3.65+0.6*((INDEX(Routes!$L$6:$L$9,$C111)*INDEX(Routes!$X$6:$X$9,$C111)*F111)-4),4.25+0.5*((INDEX(Routes!$L$6:$L$9,$C111)*INDEX(Routes!$X$6:$X$9,$C111)*F111)-5)))))</f>
        <v>19557.6</v>
      </c>
      <c r="AO111" s="67" t="n">
        <f aca="false">LOA_ft*Port_Tariffs!$C$9*IF((INDEX(Routes!$M$6:$M$9,$C111)*INDEX(Routes!$Y$6:$Y$9,$C111)*F111)&lt;=2,(INDEX(Routes!$M$6:$M$9,$C111)*INDEX(Routes!$Y$6:$Y$9,$C111)*F111),IF((INDEX(Routes!$M$6:$M$9,$C111)*INDEX(Routes!$Y$6:$Y$9,$C111)*F111)&lt;=3,2+0.9*((INDEX(Routes!$M$6:$M$9,$C111)*INDEX(Routes!$Y$6:$Y$9,$C111)*F111)-2),IF((INDEX(Routes!$M$6:$M$9,$C111)*INDEX(Routes!$Y$6:$Y$9,$C111)*F111)&lt;=4,2.9+0.75*((INDEX(Routes!$M$6:$M$9,$C111)*INDEX(Routes!$Y$6:$Y$9,$C111)*F111)-3),IF((INDEX(Routes!$M$6:$M$9,$C111)*INDEX(Routes!$Y$6:$Y$9,$C111)*F111)&lt;=5,3.65+0.6*((INDEX(Routes!$M$6:$M$9,$C111)*INDEX(Routes!$Y$6:$Y$9,$C111)*F111)-4),4.25+0.5*((INDEX(Routes!$M$6:$M$9,$C111)*INDEX(Routes!$Y$6:$Y$9,$C111)*F111)-5)))))</f>
        <v>0</v>
      </c>
    </row>
    <row r="112" customFormat="false" ht="15" hidden="false" customHeight="false" outlineLevel="0" collapsed="false">
      <c r="A112" s="2" t="s">
        <v>608</v>
      </c>
      <c r="B112" s="2" t="s">
        <v>592</v>
      </c>
      <c r="C112" s="13" t="n">
        <v>2</v>
      </c>
      <c r="D112" s="70" t="n">
        <v>120</v>
      </c>
      <c r="E112" s="88" t="n">
        <f aca="false">FreightMult</f>
        <v>1</v>
      </c>
      <c r="F112" s="88" t="n">
        <f aca="false">PortMult</f>
        <v>1</v>
      </c>
      <c r="G112" s="89" t="n">
        <f aca="false">UtilFH</f>
        <v>0.85</v>
      </c>
      <c r="H112" s="89" t="n">
        <f aca="false">UtilBH</f>
        <v>0.5</v>
      </c>
      <c r="I112" s="90" t="n">
        <f aca="false">Speed</f>
        <v>13.5</v>
      </c>
      <c r="J112" s="88" t="n">
        <f aca="false">PortCostMult</f>
        <v>1</v>
      </c>
      <c r="K112" s="90" t="n">
        <f aca="false">EUA</f>
        <v>75</v>
      </c>
      <c r="L112" s="71" t="n">
        <f aca="false">INDEX(Routes!$E$6:$E$9,$C112)</f>
        <v>9650</v>
      </c>
      <c r="M112" s="72" t="n">
        <f aca="false">INDEX(Routes!$F$6:$F$9,$C112)/L112</f>
        <v>0.0207253886010363</v>
      </c>
      <c r="N112" s="77" t="n">
        <f aca="false">2*L112*(1+SeaMargin)/(I112*24)</f>
        <v>62.5462962962963</v>
      </c>
      <c r="O112" s="84" t="n">
        <f aca="false">(I112/RefSpeed)^SpeedExp</f>
        <v>1</v>
      </c>
      <c r="P112" s="2" t="n">
        <f aca="false">IF(H112&gt;0,1,0)</f>
        <v>1</v>
      </c>
      <c r="Q112" s="71" t="n">
        <f aca="false">N112/2*O112*(ConsLaden+IF(P112=1,ConsLaden,ConsBallast))</f>
        <v>1688.75</v>
      </c>
      <c r="R112" s="71" t="n">
        <f aca="false">Q112*(1-M112)</f>
        <v>1653.75</v>
      </c>
      <c r="S112" s="71" t="n">
        <f aca="false">Q112*M112</f>
        <v>35</v>
      </c>
      <c r="T112" s="2" t="n">
        <f aca="false">1+P112</f>
        <v>2</v>
      </c>
      <c r="U112" s="77" t="n">
        <f aca="false">INDEX(Routes!$L$6:$L$9,$C112)*T112*F112</f>
        <v>10</v>
      </c>
      <c r="V112" s="77" t="n">
        <f aca="false">INDEX(Routes!$M$6:$M$9,$C112)*T112*F112</f>
        <v>7</v>
      </c>
      <c r="W112" s="77" t="n">
        <f aca="false">INDEX(Routes!$H$6:$H$9,$C112)*2</f>
        <v>3</v>
      </c>
      <c r="X112" s="71" t="n">
        <f aca="false">(U112+V112+W112)*ConsPort</f>
        <v>120</v>
      </c>
      <c r="Y112" s="67" t="n">
        <f aca="false">R112*D112*VLSFO_Mult+(S112+X112)*D112*MGO_Mult</f>
        <v>1708485</v>
      </c>
      <c r="Z112" s="67" t="n">
        <f aca="false">(INDEX(Routes!$N$6:$N$9,$C112)+AN112+MIN(AC112*INDEX(Routes!$T$6:$T$9,$C112),INDEX(Routes!$V$6:$V$9,$C112))+INDEX(Routes!$O$6:$O$9,$C112)+AO112+MIN(AC112*INDEX(Routes!$U$6:$U$9,$C112),INDEX(Routes!$W$6:$W$9,$C112))+IF(P112=1,INDEX(Routes!$N$6:$N$9,$C112)+AN112+MIN(AD112*INDEX(Routes!$T$6:$T$9,$C112),INDEX(Routes!$V$6:$V$9,$C112))+INDEX(Routes!$O$6:$O$9,$C112)+AO112+MIN(AD112*INDEX(Routes!$U$6:$U$9,$C112),INDEX(Routes!$W$6:$W$9,$C112)),0))*J112</f>
        <v>260742</v>
      </c>
      <c r="AA112" s="67" t="n">
        <f aca="false">INDEX(Routes!$R$6:$R$9,$C112)+IF(P112=1,INDEX(Routes!$R$6:$R$9,$C112),INDEX(Routes!$S$6:$S$9,$C112))</f>
        <v>426920</v>
      </c>
      <c r="AB112" s="67" t="n">
        <f aca="false">((R112*CO2_VLSFO+S112*CO2_MGO)*INDEX(Routes!$I$6:$I$9,$C112)+(U112*INDEX(Routes!$P$6:$P$9,$C112)+V112*INDEX(Routes!$Q$6:$Q$9,$C112))*ConsPort*CO2_MGO)*PhaseIn*K112*FX</f>
        <v>0</v>
      </c>
      <c r="AC112" s="71" t="n">
        <f aca="false">Capacity*G112</f>
        <v>30600</v>
      </c>
      <c r="AD112" s="71" t="n">
        <f aca="false">Capacity*H112</f>
        <v>18000</v>
      </c>
      <c r="AE112" s="82" t="n">
        <f aca="false">INDEX(Routes!$J$6:$J$9,$C112)*E112</f>
        <v>92</v>
      </c>
      <c r="AF112" s="82" t="n">
        <f aca="false">INDEX(Routes!$K$6:$K$9,$C112)*E112</f>
        <v>52</v>
      </c>
      <c r="AG112" s="67" t="n">
        <f aca="false">AC112*AE112+AD112*AF112</f>
        <v>3751200</v>
      </c>
      <c r="AH112" s="67" t="n">
        <f aca="false">AG112*Commission</f>
        <v>93780</v>
      </c>
      <c r="AI112" s="67" t="n">
        <f aca="false">Y112+Z112+AA112+AB112+MiscVoy</f>
        <v>2421147</v>
      </c>
      <c r="AJ112" s="77" t="n">
        <f aca="false">N112+U112+V112+W112</f>
        <v>82.5462962962963</v>
      </c>
      <c r="AK112" s="94" t="n">
        <f aca="false">(AG112-AH112-AI112)/AJ112</f>
        <v>14976.7228266966</v>
      </c>
      <c r="AL112" s="67" t="n">
        <f aca="false">AG112-AH112-AI112-Benchmark*AJ112</f>
        <v>-249560.333333334</v>
      </c>
      <c r="AM112" s="82" t="n">
        <f aca="false">IF(AC112&gt;0,((Benchmark*AJ112+AI112)/(1-Commission)-AD112*AF112)/AC112,0)</f>
        <v>100.364683537233</v>
      </c>
      <c r="AN112" s="67" t="n">
        <f aca="false">LOA_ft*Port_Tariffs!$C$9*IF((INDEX(Routes!$L$6:$L$9,$C112)*INDEX(Routes!$X$6:$X$9,$C112)*F112)&lt;=2,(INDEX(Routes!$L$6:$L$9,$C112)*INDEX(Routes!$X$6:$X$9,$C112)*F112),IF((INDEX(Routes!$L$6:$L$9,$C112)*INDEX(Routes!$X$6:$X$9,$C112)*F112)&lt;=3,2+0.9*((INDEX(Routes!$L$6:$L$9,$C112)*INDEX(Routes!$X$6:$X$9,$C112)*F112)-2),IF((INDEX(Routes!$L$6:$L$9,$C112)*INDEX(Routes!$X$6:$X$9,$C112)*F112)&lt;=4,2.9+0.75*((INDEX(Routes!$L$6:$L$9,$C112)*INDEX(Routes!$X$6:$X$9,$C112)*F112)-3),IF((INDEX(Routes!$L$6:$L$9,$C112)*INDEX(Routes!$X$6:$X$9,$C112)*F112)&lt;=5,3.65+0.6*((INDEX(Routes!$L$6:$L$9,$C112)*INDEX(Routes!$X$6:$X$9,$C112)*F112)-4),4.25+0.5*((INDEX(Routes!$L$6:$L$9,$C112)*INDEX(Routes!$X$6:$X$9,$C112)*F112)-5)))))</f>
        <v>19557.6</v>
      </c>
      <c r="AO112" s="67" t="n">
        <f aca="false">LOA_ft*Port_Tariffs!$C$9*IF((INDEX(Routes!$M$6:$M$9,$C112)*INDEX(Routes!$Y$6:$Y$9,$C112)*F112)&lt;=2,(INDEX(Routes!$M$6:$M$9,$C112)*INDEX(Routes!$Y$6:$Y$9,$C112)*F112),IF((INDEX(Routes!$M$6:$M$9,$C112)*INDEX(Routes!$Y$6:$Y$9,$C112)*F112)&lt;=3,2+0.9*((INDEX(Routes!$M$6:$M$9,$C112)*INDEX(Routes!$Y$6:$Y$9,$C112)*F112)-2),IF((INDEX(Routes!$M$6:$M$9,$C112)*INDEX(Routes!$Y$6:$Y$9,$C112)*F112)&lt;=4,2.9+0.75*((INDEX(Routes!$M$6:$M$9,$C112)*INDEX(Routes!$Y$6:$Y$9,$C112)*F112)-3),IF((INDEX(Routes!$M$6:$M$9,$C112)*INDEX(Routes!$Y$6:$Y$9,$C112)*F112)&lt;=5,3.65+0.6*((INDEX(Routes!$M$6:$M$9,$C112)*INDEX(Routes!$Y$6:$Y$9,$C112)*F112)-4),4.25+0.5*((INDEX(Routes!$M$6:$M$9,$C112)*INDEX(Routes!$Y$6:$Y$9,$C112)*F112)-5)))))</f>
        <v>0</v>
      </c>
    </row>
    <row r="113" customFormat="false" ht="15" hidden="false" customHeight="false" outlineLevel="0" collapsed="false">
      <c r="A113" s="2" t="s">
        <v>609</v>
      </c>
      <c r="B113" s="2" t="s">
        <v>592</v>
      </c>
      <c r="C113" s="13" t="n">
        <v>2</v>
      </c>
      <c r="D113" s="70" t="n">
        <v>130</v>
      </c>
      <c r="E113" s="88" t="n">
        <f aca="false">FreightMult</f>
        <v>1</v>
      </c>
      <c r="F113" s="88" t="n">
        <f aca="false">PortMult</f>
        <v>1</v>
      </c>
      <c r="G113" s="89" t="n">
        <f aca="false">UtilFH</f>
        <v>0.85</v>
      </c>
      <c r="H113" s="89" t="n">
        <f aca="false">UtilBH</f>
        <v>0.5</v>
      </c>
      <c r="I113" s="90" t="n">
        <f aca="false">Speed</f>
        <v>13.5</v>
      </c>
      <c r="J113" s="88" t="n">
        <f aca="false">PortCostMult</f>
        <v>1</v>
      </c>
      <c r="K113" s="90" t="n">
        <f aca="false">EUA</f>
        <v>75</v>
      </c>
      <c r="L113" s="71" t="n">
        <f aca="false">INDEX(Routes!$E$6:$E$9,$C113)</f>
        <v>9650</v>
      </c>
      <c r="M113" s="72" t="n">
        <f aca="false">INDEX(Routes!$F$6:$F$9,$C113)/L113</f>
        <v>0.0207253886010363</v>
      </c>
      <c r="N113" s="77" t="n">
        <f aca="false">2*L113*(1+SeaMargin)/(I113*24)</f>
        <v>62.5462962962963</v>
      </c>
      <c r="O113" s="84" t="n">
        <f aca="false">(I113/RefSpeed)^SpeedExp</f>
        <v>1</v>
      </c>
      <c r="P113" s="2" t="n">
        <f aca="false">IF(H113&gt;0,1,0)</f>
        <v>1</v>
      </c>
      <c r="Q113" s="71" t="n">
        <f aca="false">N113/2*O113*(ConsLaden+IF(P113=1,ConsLaden,ConsBallast))</f>
        <v>1688.75</v>
      </c>
      <c r="R113" s="71" t="n">
        <f aca="false">Q113*(1-M113)</f>
        <v>1653.75</v>
      </c>
      <c r="S113" s="71" t="n">
        <f aca="false">Q113*M113</f>
        <v>35</v>
      </c>
      <c r="T113" s="2" t="n">
        <f aca="false">1+P113</f>
        <v>2</v>
      </c>
      <c r="U113" s="77" t="n">
        <f aca="false">INDEX(Routes!$L$6:$L$9,$C113)*T113*F113</f>
        <v>10</v>
      </c>
      <c r="V113" s="77" t="n">
        <f aca="false">INDEX(Routes!$M$6:$M$9,$C113)*T113*F113</f>
        <v>7</v>
      </c>
      <c r="W113" s="77" t="n">
        <f aca="false">INDEX(Routes!$H$6:$H$9,$C113)*2</f>
        <v>3</v>
      </c>
      <c r="X113" s="71" t="n">
        <f aca="false">(U113+V113+W113)*ConsPort</f>
        <v>120</v>
      </c>
      <c r="Y113" s="67" t="n">
        <f aca="false">R113*D113*VLSFO_Mult+(S113+X113)*D113*MGO_Mult</f>
        <v>1850858.75</v>
      </c>
      <c r="Z113" s="67" t="n">
        <f aca="false">(INDEX(Routes!$N$6:$N$9,$C113)+AN113+MIN(AC113*INDEX(Routes!$T$6:$T$9,$C113),INDEX(Routes!$V$6:$V$9,$C113))+INDEX(Routes!$O$6:$O$9,$C113)+AO113+MIN(AC113*INDEX(Routes!$U$6:$U$9,$C113),INDEX(Routes!$W$6:$W$9,$C113))+IF(P113=1,INDEX(Routes!$N$6:$N$9,$C113)+AN113+MIN(AD113*INDEX(Routes!$T$6:$T$9,$C113),INDEX(Routes!$V$6:$V$9,$C113))+INDEX(Routes!$O$6:$O$9,$C113)+AO113+MIN(AD113*INDEX(Routes!$U$6:$U$9,$C113),INDEX(Routes!$W$6:$W$9,$C113)),0))*J113</f>
        <v>260742</v>
      </c>
      <c r="AA113" s="67" t="n">
        <f aca="false">INDEX(Routes!$R$6:$R$9,$C113)+IF(P113=1,INDEX(Routes!$R$6:$R$9,$C113),INDEX(Routes!$S$6:$S$9,$C113))</f>
        <v>426920</v>
      </c>
      <c r="AB113" s="67" t="n">
        <f aca="false">((R113*CO2_VLSFO+S113*CO2_MGO)*INDEX(Routes!$I$6:$I$9,$C113)+(U113*INDEX(Routes!$P$6:$P$9,$C113)+V113*INDEX(Routes!$Q$6:$Q$9,$C113))*ConsPort*CO2_MGO)*PhaseIn*K113*FX</f>
        <v>0</v>
      </c>
      <c r="AC113" s="71" t="n">
        <f aca="false">Capacity*G113</f>
        <v>30600</v>
      </c>
      <c r="AD113" s="71" t="n">
        <f aca="false">Capacity*H113</f>
        <v>18000</v>
      </c>
      <c r="AE113" s="82" t="n">
        <f aca="false">INDEX(Routes!$J$6:$J$9,$C113)*E113</f>
        <v>92</v>
      </c>
      <c r="AF113" s="82" t="n">
        <f aca="false">INDEX(Routes!$K$6:$K$9,$C113)*E113</f>
        <v>52</v>
      </c>
      <c r="AG113" s="67" t="n">
        <f aca="false">AC113*AE113+AD113*AF113</f>
        <v>3751200</v>
      </c>
      <c r="AH113" s="67" t="n">
        <f aca="false">AG113*Commission</f>
        <v>93780</v>
      </c>
      <c r="AI113" s="67" t="n">
        <f aca="false">Y113+Z113+AA113+AB113+MiscVoy</f>
        <v>2563520.75</v>
      </c>
      <c r="AJ113" s="77" t="n">
        <f aca="false">N113+U113+V113+W113</f>
        <v>82.5462962962963</v>
      </c>
      <c r="AK113" s="94" t="n">
        <f aca="false">(AG113-AH113-AI113)/AJ113</f>
        <v>13251.9482893999</v>
      </c>
      <c r="AL113" s="67" t="n">
        <f aca="false">AG113-AH113-AI113-Benchmark*AJ113</f>
        <v>-391934.083333334</v>
      </c>
      <c r="AM113" s="82" t="n">
        <f aca="false">IF(AC113&gt;0,((Benchmark*AJ113+AI113)/(1-Commission)-AD113*AF113)/AC113,0)</f>
        <v>105.136721412212</v>
      </c>
      <c r="AN113" s="67" t="n">
        <f aca="false">LOA_ft*Port_Tariffs!$C$9*IF((INDEX(Routes!$L$6:$L$9,$C113)*INDEX(Routes!$X$6:$X$9,$C113)*F113)&lt;=2,(INDEX(Routes!$L$6:$L$9,$C113)*INDEX(Routes!$X$6:$X$9,$C113)*F113),IF((INDEX(Routes!$L$6:$L$9,$C113)*INDEX(Routes!$X$6:$X$9,$C113)*F113)&lt;=3,2+0.9*((INDEX(Routes!$L$6:$L$9,$C113)*INDEX(Routes!$X$6:$X$9,$C113)*F113)-2),IF((INDEX(Routes!$L$6:$L$9,$C113)*INDEX(Routes!$X$6:$X$9,$C113)*F113)&lt;=4,2.9+0.75*((INDEX(Routes!$L$6:$L$9,$C113)*INDEX(Routes!$X$6:$X$9,$C113)*F113)-3),IF((INDEX(Routes!$L$6:$L$9,$C113)*INDEX(Routes!$X$6:$X$9,$C113)*F113)&lt;=5,3.65+0.6*((INDEX(Routes!$L$6:$L$9,$C113)*INDEX(Routes!$X$6:$X$9,$C113)*F113)-4),4.25+0.5*((INDEX(Routes!$L$6:$L$9,$C113)*INDEX(Routes!$X$6:$X$9,$C113)*F113)-5)))))</f>
        <v>19557.6</v>
      </c>
      <c r="AO113" s="67" t="n">
        <f aca="false">LOA_ft*Port_Tariffs!$C$9*IF((INDEX(Routes!$M$6:$M$9,$C113)*INDEX(Routes!$Y$6:$Y$9,$C113)*F113)&lt;=2,(INDEX(Routes!$M$6:$M$9,$C113)*INDEX(Routes!$Y$6:$Y$9,$C113)*F113),IF((INDEX(Routes!$M$6:$M$9,$C113)*INDEX(Routes!$Y$6:$Y$9,$C113)*F113)&lt;=3,2+0.9*((INDEX(Routes!$M$6:$M$9,$C113)*INDEX(Routes!$Y$6:$Y$9,$C113)*F113)-2),IF((INDEX(Routes!$M$6:$M$9,$C113)*INDEX(Routes!$Y$6:$Y$9,$C113)*F113)&lt;=4,2.9+0.75*((INDEX(Routes!$M$6:$M$9,$C113)*INDEX(Routes!$Y$6:$Y$9,$C113)*F113)-3),IF((INDEX(Routes!$M$6:$M$9,$C113)*INDEX(Routes!$Y$6:$Y$9,$C113)*F113)&lt;=5,3.65+0.6*((INDEX(Routes!$M$6:$M$9,$C113)*INDEX(Routes!$Y$6:$Y$9,$C113)*F113)-4),4.25+0.5*((INDEX(Routes!$M$6:$M$9,$C113)*INDEX(Routes!$Y$6:$Y$9,$C113)*F113)-5)))))</f>
        <v>0</v>
      </c>
    </row>
    <row r="114" customFormat="false" ht="15" hidden="false" customHeight="false" outlineLevel="0" collapsed="false">
      <c r="A114" s="2" t="s">
        <v>610</v>
      </c>
      <c r="B114" s="2" t="s">
        <v>592</v>
      </c>
      <c r="C114" s="13" t="n">
        <v>3</v>
      </c>
      <c r="D114" s="70" t="n">
        <v>50</v>
      </c>
      <c r="E114" s="88" t="n">
        <f aca="false">FreightMult</f>
        <v>1</v>
      </c>
      <c r="F114" s="88" t="n">
        <f aca="false">PortMult</f>
        <v>1</v>
      </c>
      <c r="G114" s="89" t="n">
        <f aca="false">UtilFH</f>
        <v>0.85</v>
      </c>
      <c r="H114" s="89" t="n">
        <f aca="false">UtilBH</f>
        <v>0.5</v>
      </c>
      <c r="I114" s="90" t="n">
        <f aca="false">Speed</f>
        <v>13.5</v>
      </c>
      <c r="J114" s="88" t="n">
        <f aca="false">PortCostMult</f>
        <v>1</v>
      </c>
      <c r="K114" s="90" t="n">
        <f aca="false">EUA</f>
        <v>75</v>
      </c>
      <c r="L114" s="71" t="n">
        <f aca="false">INDEX(Routes!$E$6:$E$9,$C114)</f>
        <v>6350</v>
      </c>
      <c r="M114" s="72" t="n">
        <f aca="false">INDEX(Routes!$F$6:$F$9,$C114)/L114</f>
        <v>0.0708661417322835</v>
      </c>
      <c r="N114" s="77" t="n">
        <f aca="false">2*L114*(1+SeaMargin)/(I114*24)</f>
        <v>41.1574074074074</v>
      </c>
      <c r="O114" s="84" t="n">
        <f aca="false">(I114/RefSpeed)^SpeedExp</f>
        <v>1</v>
      </c>
      <c r="P114" s="2" t="n">
        <f aca="false">IF(H114&gt;0,1,0)</f>
        <v>1</v>
      </c>
      <c r="Q114" s="71" t="n">
        <f aca="false">N114/2*O114*(ConsLaden+IF(P114=1,ConsLaden,ConsBallast))</f>
        <v>1111.25</v>
      </c>
      <c r="R114" s="71" t="n">
        <f aca="false">Q114*(1-M114)</f>
        <v>1032.5</v>
      </c>
      <c r="S114" s="71" t="n">
        <f aca="false">Q114*M114</f>
        <v>78.75</v>
      </c>
      <c r="T114" s="2" t="n">
        <f aca="false">1+P114</f>
        <v>2</v>
      </c>
      <c r="U114" s="77" t="n">
        <f aca="false">INDEX(Routes!$L$6:$L$9,$C114)*T114*F114</f>
        <v>7</v>
      </c>
      <c r="V114" s="77" t="n">
        <f aca="false">INDEX(Routes!$M$6:$M$9,$C114)*T114*F114</f>
        <v>8</v>
      </c>
      <c r="W114" s="77" t="n">
        <f aca="false">INDEX(Routes!$H$6:$H$9,$C114)*2</f>
        <v>2</v>
      </c>
      <c r="X114" s="71" t="n">
        <f aca="false">(U114+V114+W114)*ConsPort</f>
        <v>102</v>
      </c>
      <c r="Y114" s="67" t="n">
        <f aca="false">R114*D114*VLSFO_Mult+(S114+X114)*D114*MGO_Mult</f>
        <v>485176.25</v>
      </c>
      <c r="Z114" s="67" t="n">
        <f aca="false">(INDEX(Routes!$N$6:$N$9,$C114)+AN114+MIN(AC114*INDEX(Routes!$T$6:$T$9,$C114),INDEX(Routes!$V$6:$V$9,$C114))+INDEX(Routes!$O$6:$O$9,$C114)+AO114+MIN(AC114*INDEX(Routes!$U$6:$U$9,$C114),INDEX(Routes!$W$6:$W$9,$C114))+IF(P114=1,INDEX(Routes!$N$6:$N$9,$C114)+AN114+MIN(AD114*INDEX(Routes!$T$6:$T$9,$C114),INDEX(Routes!$V$6:$V$9,$C114))+INDEX(Routes!$O$6:$O$9,$C114)+AO114+MIN(AD114*INDEX(Routes!$U$6:$U$9,$C114),INDEX(Routes!$W$6:$W$9,$C114)),0))*J114</f>
        <v>231562.2096</v>
      </c>
      <c r="AA114" s="67" t="n">
        <f aca="false">INDEX(Routes!$R$6:$R$9,$C114)+IF(P114=1,INDEX(Routes!$R$6:$R$9,$C114),INDEX(Routes!$S$6:$S$9,$C114))</f>
        <v>752016</v>
      </c>
      <c r="AB114" s="67" t="n">
        <f aca="false">((R114*CO2_VLSFO+S114*CO2_MGO)*INDEX(Routes!$I$6:$I$9,$C114)+(U114*INDEX(Routes!$P$6:$P$9,$C114)+V114*INDEX(Routes!$Q$6:$Q$9,$C114))*ConsPort*CO2_MGO)*PhaseIn*K114*FX</f>
        <v>154150.486875</v>
      </c>
      <c r="AC114" s="71" t="n">
        <f aca="false">Capacity*G114</f>
        <v>30600</v>
      </c>
      <c r="AD114" s="71" t="n">
        <f aca="false">Capacity*H114</f>
        <v>18000</v>
      </c>
      <c r="AE114" s="82" t="n">
        <f aca="false">INDEX(Routes!$J$6:$J$9,$C114)*E114</f>
        <v>75</v>
      </c>
      <c r="AF114" s="82" t="n">
        <f aca="false">INDEX(Routes!$K$6:$K$9,$C114)*E114</f>
        <v>55</v>
      </c>
      <c r="AG114" s="67" t="n">
        <f aca="false">AC114*AE114+AD114*AF114</f>
        <v>3285000</v>
      </c>
      <c r="AH114" s="67" t="n">
        <f aca="false">AG114*Commission</f>
        <v>82125</v>
      </c>
      <c r="AI114" s="67" t="n">
        <f aca="false">Y114+Z114+AA114+AB114+MiscVoy</f>
        <v>1647904.946475</v>
      </c>
      <c r="AJ114" s="77" t="n">
        <f aca="false">N114+U114+V114+W114</f>
        <v>58.1574074074074</v>
      </c>
      <c r="AK114" s="94" t="n">
        <f aca="false">(AG114-AH114-AI114)/AJ114</f>
        <v>26737.265687104</v>
      </c>
      <c r="AL114" s="67" t="n">
        <f aca="false">AG114-AH114-AI114-Benchmark*AJ114</f>
        <v>508136.720191667</v>
      </c>
      <c r="AM114" s="82" t="n">
        <f aca="false">IF(AC114&gt;0,((Benchmark*AJ114+AI114)/(1-Commission)-AD114*AF114)/AC114,0)</f>
        <v>57.9684357234233</v>
      </c>
      <c r="AN114" s="67" t="n">
        <f aca="false">LOA_ft*Port_Tariffs!$C$9*IF((INDEX(Routes!$L$6:$L$9,$C114)*INDEX(Routes!$X$6:$X$9,$C114)*F114)&lt;=2,(INDEX(Routes!$L$6:$L$9,$C114)*INDEX(Routes!$X$6:$X$9,$C114)*F114),IF((INDEX(Routes!$L$6:$L$9,$C114)*INDEX(Routes!$X$6:$X$9,$C114)*F114)&lt;=3,2+0.9*((INDEX(Routes!$L$6:$L$9,$C114)*INDEX(Routes!$X$6:$X$9,$C114)*F114)-2),IF((INDEX(Routes!$L$6:$L$9,$C114)*INDEX(Routes!$X$6:$X$9,$C114)*F114)&lt;=4,2.9+0.75*((INDEX(Routes!$L$6:$L$9,$C114)*INDEX(Routes!$X$6:$X$9,$C114)*F114)-3),IF((INDEX(Routes!$L$6:$L$9,$C114)*INDEX(Routes!$X$6:$X$9,$C114)*F114)&lt;=5,3.65+0.6*((INDEX(Routes!$L$6:$L$9,$C114)*INDEX(Routes!$X$6:$X$9,$C114)*F114)-4),4.25+0.5*((INDEX(Routes!$L$6:$L$9,$C114)*INDEX(Routes!$X$6:$X$9,$C114)*F114)-5)))))</f>
        <v>0</v>
      </c>
      <c r="AO114" s="67" t="n">
        <f aca="false">LOA_ft*Port_Tariffs!$C$9*IF((INDEX(Routes!$M$6:$M$9,$C114)*INDEX(Routes!$Y$6:$Y$9,$C114)*F114)&lt;=2,(INDEX(Routes!$M$6:$M$9,$C114)*INDEX(Routes!$Y$6:$Y$9,$C114)*F114),IF((INDEX(Routes!$M$6:$M$9,$C114)*INDEX(Routes!$Y$6:$Y$9,$C114)*F114)&lt;=3,2+0.9*((INDEX(Routes!$M$6:$M$9,$C114)*INDEX(Routes!$Y$6:$Y$9,$C114)*F114)-2),IF((INDEX(Routes!$M$6:$M$9,$C114)*INDEX(Routes!$Y$6:$Y$9,$C114)*F114)&lt;=4,2.9+0.75*((INDEX(Routes!$M$6:$M$9,$C114)*INDEX(Routes!$Y$6:$Y$9,$C114)*F114)-3),IF((INDEX(Routes!$M$6:$M$9,$C114)*INDEX(Routes!$Y$6:$Y$9,$C114)*F114)&lt;=5,3.65+0.6*((INDEX(Routes!$M$6:$M$9,$C114)*INDEX(Routes!$Y$6:$Y$9,$C114)*F114)-4),4.25+0.5*((INDEX(Routes!$M$6:$M$9,$C114)*INDEX(Routes!$Y$6:$Y$9,$C114)*F114)-5)))))</f>
        <v>0</v>
      </c>
    </row>
    <row r="115" customFormat="false" ht="15" hidden="false" customHeight="false" outlineLevel="0" collapsed="false">
      <c r="A115" s="2" t="s">
        <v>611</v>
      </c>
      <c r="B115" s="2" t="s">
        <v>592</v>
      </c>
      <c r="C115" s="13" t="n">
        <v>3</v>
      </c>
      <c r="D115" s="70" t="n">
        <v>60</v>
      </c>
      <c r="E115" s="88" t="n">
        <f aca="false">FreightMult</f>
        <v>1</v>
      </c>
      <c r="F115" s="88" t="n">
        <f aca="false">PortMult</f>
        <v>1</v>
      </c>
      <c r="G115" s="89" t="n">
        <f aca="false">UtilFH</f>
        <v>0.85</v>
      </c>
      <c r="H115" s="89" t="n">
        <f aca="false">UtilBH</f>
        <v>0.5</v>
      </c>
      <c r="I115" s="90" t="n">
        <f aca="false">Speed</f>
        <v>13.5</v>
      </c>
      <c r="J115" s="88" t="n">
        <f aca="false">PortCostMult</f>
        <v>1</v>
      </c>
      <c r="K115" s="90" t="n">
        <f aca="false">EUA</f>
        <v>75</v>
      </c>
      <c r="L115" s="71" t="n">
        <f aca="false">INDEX(Routes!$E$6:$E$9,$C115)</f>
        <v>6350</v>
      </c>
      <c r="M115" s="72" t="n">
        <f aca="false">INDEX(Routes!$F$6:$F$9,$C115)/L115</f>
        <v>0.0708661417322835</v>
      </c>
      <c r="N115" s="77" t="n">
        <f aca="false">2*L115*(1+SeaMargin)/(I115*24)</f>
        <v>41.1574074074074</v>
      </c>
      <c r="O115" s="84" t="n">
        <f aca="false">(I115/RefSpeed)^SpeedExp</f>
        <v>1</v>
      </c>
      <c r="P115" s="2" t="n">
        <f aca="false">IF(H115&gt;0,1,0)</f>
        <v>1</v>
      </c>
      <c r="Q115" s="71" t="n">
        <f aca="false">N115/2*O115*(ConsLaden+IF(P115=1,ConsLaden,ConsBallast))</f>
        <v>1111.25</v>
      </c>
      <c r="R115" s="71" t="n">
        <f aca="false">Q115*(1-M115)</f>
        <v>1032.5</v>
      </c>
      <c r="S115" s="71" t="n">
        <f aca="false">Q115*M115</f>
        <v>78.75</v>
      </c>
      <c r="T115" s="2" t="n">
        <f aca="false">1+P115</f>
        <v>2</v>
      </c>
      <c r="U115" s="77" t="n">
        <f aca="false">INDEX(Routes!$L$6:$L$9,$C115)*T115*F115</f>
        <v>7</v>
      </c>
      <c r="V115" s="77" t="n">
        <f aca="false">INDEX(Routes!$M$6:$M$9,$C115)*T115*F115</f>
        <v>8</v>
      </c>
      <c r="W115" s="77" t="n">
        <f aca="false">INDEX(Routes!$H$6:$H$9,$C115)*2</f>
        <v>2</v>
      </c>
      <c r="X115" s="71" t="n">
        <f aca="false">(U115+V115+W115)*ConsPort</f>
        <v>102</v>
      </c>
      <c r="Y115" s="67" t="n">
        <f aca="false">R115*D115*VLSFO_Mult+(S115+X115)*D115*MGO_Mult</f>
        <v>582211.5</v>
      </c>
      <c r="Z115" s="67" t="n">
        <f aca="false">(INDEX(Routes!$N$6:$N$9,$C115)+AN115+MIN(AC115*INDEX(Routes!$T$6:$T$9,$C115),INDEX(Routes!$V$6:$V$9,$C115))+INDEX(Routes!$O$6:$O$9,$C115)+AO115+MIN(AC115*INDEX(Routes!$U$6:$U$9,$C115),INDEX(Routes!$W$6:$W$9,$C115))+IF(P115=1,INDEX(Routes!$N$6:$N$9,$C115)+AN115+MIN(AD115*INDEX(Routes!$T$6:$T$9,$C115),INDEX(Routes!$V$6:$V$9,$C115))+INDEX(Routes!$O$6:$O$9,$C115)+AO115+MIN(AD115*INDEX(Routes!$U$6:$U$9,$C115),INDEX(Routes!$W$6:$W$9,$C115)),0))*J115</f>
        <v>231562.2096</v>
      </c>
      <c r="AA115" s="67" t="n">
        <f aca="false">INDEX(Routes!$R$6:$R$9,$C115)+IF(P115=1,INDEX(Routes!$R$6:$R$9,$C115),INDEX(Routes!$S$6:$S$9,$C115))</f>
        <v>752016</v>
      </c>
      <c r="AB115" s="67" t="n">
        <f aca="false">((R115*CO2_VLSFO+S115*CO2_MGO)*INDEX(Routes!$I$6:$I$9,$C115)+(U115*INDEX(Routes!$P$6:$P$9,$C115)+V115*INDEX(Routes!$Q$6:$Q$9,$C115))*ConsPort*CO2_MGO)*PhaseIn*K115*FX</f>
        <v>154150.486875</v>
      </c>
      <c r="AC115" s="71" t="n">
        <f aca="false">Capacity*G115</f>
        <v>30600</v>
      </c>
      <c r="AD115" s="71" t="n">
        <f aca="false">Capacity*H115</f>
        <v>18000</v>
      </c>
      <c r="AE115" s="82" t="n">
        <f aca="false">INDEX(Routes!$J$6:$J$9,$C115)*E115</f>
        <v>75</v>
      </c>
      <c r="AF115" s="82" t="n">
        <f aca="false">INDEX(Routes!$K$6:$K$9,$C115)*E115</f>
        <v>55</v>
      </c>
      <c r="AG115" s="67" t="n">
        <f aca="false">AC115*AE115+AD115*AF115</f>
        <v>3285000</v>
      </c>
      <c r="AH115" s="67" t="n">
        <f aca="false">AG115*Commission</f>
        <v>82125</v>
      </c>
      <c r="AI115" s="67" t="n">
        <f aca="false">Y115+Z115+AA115+AB115+MiscVoy</f>
        <v>1744940.196475</v>
      </c>
      <c r="AJ115" s="77" t="n">
        <f aca="false">N115+U115+V115+W115</f>
        <v>58.1574074074074</v>
      </c>
      <c r="AK115" s="94" t="n">
        <f aca="false">(AG115-AH115-AI115)/AJ115</f>
        <v>25068.7722943321</v>
      </c>
      <c r="AL115" s="67" t="n">
        <f aca="false">AG115-AH115-AI115-Benchmark*AJ115</f>
        <v>411101.470191667</v>
      </c>
      <c r="AM115" s="82" t="n">
        <f aca="false">IF(AC115&gt;0,((Benchmark*AJ115+AI115)/(1-Commission)-AD115*AF115)/AC115,0)</f>
        <v>61.2208322375845</v>
      </c>
      <c r="AN115" s="67" t="n">
        <f aca="false">LOA_ft*Port_Tariffs!$C$9*IF((INDEX(Routes!$L$6:$L$9,$C115)*INDEX(Routes!$X$6:$X$9,$C115)*F115)&lt;=2,(INDEX(Routes!$L$6:$L$9,$C115)*INDEX(Routes!$X$6:$X$9,$C115)*F115),IF((INDEX(Routes!$L$6:$L$9,$C115)*INDEX(Routes!$X$6:$X$9,$C115)*F115)&lt;=3,2+0.9*((INDEX(Routes!$L$6:$L$9,$C115)*INDEX(Routes!$X$6:$X$9,$C115)*F115)-2),IF((INDEX(Routes!$L$6:$L$9,$C115)*INDEX(Routes!$X$6:$X$9,$C115)*F115)&lt;=4,2.9+0.75*((INDEX(Routes!$L$6:$L$9,$C115)*INDEX(Routes!$X$6:$X$9,$C115)*F115)-3),IF((INDEX(Routes!$L$6:$L$9,$C115)*INDEX(Routes!$X$6:$X$9,$C115)*F115)&lt;=5,3.65+0.6*((INDEX(Routes!$L$6:$L$9,$C115)*INDEX(Routes!$X$6:$X$9,$C115)*F115)-4),4.25+0.5*((INDEX(Routes!$L$6:$L$9,$C115)*INDEX(Routes!$X$6:$X$9,$C115)*F115)-5)))))</f>
        <v>0</v>
      </c>
      <c r="AO115" s="67" t="n">
        <f aca="false">LOA_ft*Port_Tariffs!$C$9*IF((INDEX(Routes!$M$6:$M$9,$C115)*INDEX(Routes!$Y$6:$Y$9,$C115)*F115)&lt;=2,(INDEX(Routes!$M$6:$M$9,$C115)*INDEX(Routes!$Y$6:$Y$9,$C115)*F115),IF((INDEX(Routes!$M$6:$M$9,$C115)*INDEX(Routes!$Y$6:$Y$9,$C115)*F115)&lt;=3,2+0.9*((INDEX(Routes!$M$6:$M$9,$C115)*INDEX(Routes!$Y$6:$Y$9,$C115)*F115)-2),IF((INDEX(Routes!$M$6:$M$9,$C115)*INDEX(Routes!$Y$6:$Y$9,$C115)*F115)&lt;=4,2.9+0.75*((INDEX(Routes!$M$6:$M$9,$C115)*INDEX(Routes!$Y$6:$Y$9,$C115)*F115)-3),IF((INDEX(Routes!$M$6:$M$9,$C115)*INDEX(Routes!$Y$6:$Y$9,$C115)*F115)&lt;=5,3.65+0.6*((INDEX(Routes!$M$6:$M$9,$C115)*INDEX(Routes!$Y$6:$Y$9,$C115)*F115)-4),4.25+0.5*((INDEX(Routes!$M$6:$M$9,$C115)*INDEX(Routes!$Y$6:$Y$9,$C115)*F115)-5)))))</f>
        <v>0</v>
      </c>
    </row>
    <row r="116" customFormat="false" ht="15" hidden="false" customHeight="false" outlineLevel="0" collapsed="false">
      <c r="A116" s="2" t="s">
        <v>612</v>
      </c>
      <c r="B116" s="2" t="s">
        <v>592</v>
      </c>
      <c r="C116" s="13" t="n">
        <v>3</v>
      </c>
      <c r="D116" s="70" t="n">
        <v>70</v>
      </c>
      <c r="E116" s="88" t="n">
        <f aca="false">FreightMult</f>
        <v>1</v>
      </c>
      <c r="F116" s="88" t="n">
        <f aca="false">PortMult</f>
        <v>1</v>
      </c>
      <c r="G116" s="89" t="n">
        <f aca="false">UtilFH</f>
        <v>0.85</v>
      </c>
      <c r="H116" s="89" t="n">
        <f aca="false">UtilBH</f>
        <v>0.5</v>
      </c>
      <c r="I116" s="90" t="n">
        <f aca="false">Speed</f>
        <v>13.5</v>
      </c>
      <c r="J116" s="88" t="n">
        <f aca="false">PortCostMult</f>
        <v>1</v>
      </c>
      <c r="K116" s="90" t="n">
        <f aca="false">EUA</f>
        <v>75</v>
      </c>
      <c r="L116" s="71" t="n">
        <f aca="false">INDEX(Routes!$E$6:$E$9,$C116)</f>
        <v>6350</v>
      </c>
      <c r="M116" s="72" t="n">
        <f aca="false">INDEX(Routes!$F$6:$F$9,$C116)/L116</f>
        <v>0.0708661417322835</v>
      </c>
      <c r="N116" s="77" t="n">
        <f aca="false">2*L116*(1+SeaMargin)/(I116*24)</f>
        <v>41.1574074074074</v>
      </c>
      <c r="O116" s="84" t="n">
        <f aca="false">(I116/RefSpeed)^SpeedExp</f>
        <v>1</v>
      </c>
      <c r="P116" s="2" t="n">
        <f aca="false">IF(H116&gt;0,1,0)</f>
        <v>1</v>
      </c>
      <c r="Q116" s="71" t="n">
        <f aca="false">N116/2*O116*(ConsLaden+IF(P116=1,ConsLaden,ConsBallast))</f>
        <v>1111.25</v>
      </c>
      <c r="R116" s="71" t="n">
        <f aca="false">Q116*(1-M116)</f>
        <v>1032.5</v>
      </c>
      <c r="S116" s="71" t="n">
        <f aca="false">Q116*M116</f>
        <v>78.75</v>
      </c>
      <c r="T116" s="2" t="n">
        <f aca="false">1+P116</f>
        <v>2</v>
      </c>
      <c r="U116" s="77" t="n">
        <f aca="false">INDEX(Routes!$L$6:$L$9,$C116)*T116*F116</f>
        <v>7</v>
      </c>
      <c r="V116" s="77" t="n">
        <f aca="false">INDEX(Routes!$M$6:$M$9,$C116)*T116*F116</f>
        <v>8</v>
      </c>
      <c r="W116" s="77" t="n">
        <f aca="false">INDEX(Routes!$H$6:$H$9,$C116)*2</f>
        <v>2</v>
      </c>
      <c r="X116" s="71" t="n">
        <f aca="false">(U116+V116+W116)*ConsPort</f>
        <v>102</v>
      </c>
      <c r="Y116" s="67" t="n">
        <f aca="false">R116*D116*VLSFO_Mult+(S116+X116)*D116*MGO_Mult</f>
        <v>679246.75</v>
      </c>
      <c r="Z116" s="67" t="n">
        <f aca="false">(INDEX(Routes!$N$6:$N$9,$C116)+AN116+MIN(AC116*INDEX(Routes!$T$6:$T$9,$C116),INDEX(Routes!$V$6:$V$9,$C116))+INDEX(Routes!$O$6:$O$9,$C116)+AO116+MIN(AC116*INDEX(Routes!$U$6:$U$9,$C116),INDEX(Routes!$W$6:$W$9,$C116))+IF(P116=1,INDEX(Routes!$N$6:$N$9,$C116)+AN116+MIN(AD116*INDEX(Routes!$T$6:$T$9,$C116),INDEX(Routes!$V$6:$V$9,$C116))+INDEX(Routes!$O$6:$O$9,$C116)+AO116+MIN(AD116*INDEX(Routes!$U$6:$U$9,$C116),INDEX(Routes!$W$6:$W$9,$C116)),0))*J116</f>
        <v>231562.2096</v>
      </c>
      <c r="AA116" s="67" t="n">
        <f aca="false">INDEX(Routes!$R$6:$R$9,$C116)+IF(P116=1,INDEX(Routes!$R$6:$R$9,$C116),INDEX(Routes!$S$6:$S$9,$C116))</f>
        <v>752016</v>
      </c>
      <c r="AB116" s="67" t="n">
        <f aca="false">((R116*CO2_VLSFO+S116*CO2_MGO)*INDEX(Routes!$I$6:$I$9,$C116)+(U116*INDEX(Routes!$P$6:$P$9,$C116)+V116*INDEX(Routes!$Q$6:$Q$9,$C116))*ConsPort*CO2_MGO)*PhaseIn*K116*FX</f>
        <v>154150.486875</v>
      </c>
      <c r="AC116" s="71" t="n">
        <f aca="false">Capacity*G116</f>
        <v>30600</v>
      </c>
      <c r="AD116" s="71" t="n">
        <f aca="false">Capacity*H116</f>
        <v>18000</v>
      </c>
      <c r="AE116" s="82" t="n">
        <f aca="false">INDEX(Routes!$J$6:$J$9,$C116)*E116</f>
        <v>75</v>
      </c>
      <c r="AF116" s="82" t="n">
        <f aca="false">INDEX(Routes!$K$6:$K$9,$C116)*E116</f>
        <v>55</v>
      </c>
      <c r="AG116" s="67" t="n">
        <f aca="false">AC116*AE116+AD116*AF116</f>
        <v>3285000</v>
      </c>
      <c r="AH116" s="67" t="n">
        <f aca="false">AG116*Commission</f>
        <v>82125</v>
      </c>
      <c r="AI116" s="67" t="n">
        <f aca="false">Y116+Z116+AA116+AB116+MiscVoy</f>
        <v>1841975.446475</v>
      </c>
      <c r="AJ116" s="77" t="n">
        <f aca="false">N116+U116+V116+W116</f>
        <v>58.1574074074074</v>
      </c>
      <c r="AK116" s="94" t="n">
        <f aca="false">(AG116-AH116-AI116)/AJ116</f>
        <v>23400.2789015603</v>
      </c>
      <c r="AL116" s="67" t="n">
        <f aca="false">AG116-AH116-AI116-Benchmark*AJ116</f>
        <v>314066.220191667</v>
      </c>
      <c r="AM116" s="82" t="n">
        <f aca="false">IF(AC116&gt;0,((Benchmark*AJ116+AI116)/(1-Commission)-AD116*AF116)/AC116,0)</f>
        <v>64.4732287517457</v>
      </c>
      <c r="AN116" s="67" t="n">
        <f aca="false">LOA_ft*Port_Tariffs!$C$9*IF((INDEX(Routes!$L$6:$L$9,$C116)*INDEX(Routes!$X$6:$X$9,$C116)*F116)&lt;=2,(INDEX(Routes!$L$6:$L$9,$C116)*INDEX(Routes!$X$6:$X$9,$C116)*F116),IF((INDEX(Routes!$L$6:$L$9,$C116)*INDEX(Routes!$X$6:$X$9,$C116)*F116)&lt;=3,2+0.9*((INDEX(Routes!$L$6:$L$9,$C116)*INDEX(Routes!$X$6:$X$9,$C116)*F116)-2),IF((INDEX(Routes!$L$6:$L$9,$C116)*INDEX(Routes!$X$6:$X$9,$C116)*F116)&lt;=4,2.9+0.75*((INDEX(Routes!$L$6:$L$9,$C116)*INDEX(Routes!$X$6:$X$9,$C116)*F116)-3),IF((INDEX(Routes!$L$6:$L$9,$C116)*INDEX(Routes!$X$6:$X$9,$C116)*F116)&lt;=5,3.65+0.6*((INDEX(Routes!$L$6:$L$9,$C116)*INDEX(Routes!$X$6:$X$9,$C116)*F116)-4),4.25+0.5*((INDEX(Routes!$L$6:$L$9,$C116)*INDEX(Routes!$X$6:$X$9,$C116)*F116)-5)))))</f>
        <v>0</v>
      </c>
      <c r="AO116" s="67" t="n">
        <f aca="false">LOA_ft*Port_Tariffs!$C$9*IF((INDEX(Routes!$M$6:$M$9,$C116)*INDEX(Routes!$Y$6:$Y$9,$C116)*F116)&lt;=2,(INDEX(Routes!$M$6:$M$9,$C116)*INDEX(Routes!$Y$6:$Y$9,$C116)*F116),IF((INDEX(Routes!$M$6:$M$9,$C116)*INDEX(Routes!$Y$6:$Y$9,$C116)*F116)&lt;=3,2+0.9*((INDEX(Routes!$M$6:$M$9,$C116)*INDEX(Routes!$Y$6:$Y$9,$C116)*F116)-2),IF((INDEX(Routes!$M$6:$M$9,$C116)*INDEX(Routes!$Y$6:$Y$9,$C116)*F116)&lt;=4,2.9+0.75*((INDEX(Routes!$M$6:$M$9,$C116)*INDEX(Routes!$Y$6:$Y$9,$C116)*F116)-3),IF((INDEX(Routes!$M$6:$M$9,$C116)*INDEX(Routes!$Y$6:$Y$9,$C116)*F116)&lt;=5,3.65+0.6*((INDEX(Routes!$M$6:$M$9,$C116)*INDEX(Routes!$Y$6:$Y$9,$C116)*F116)-4),4.25+0.5*((INDEX(Routes!$M$6:$M$9,$C116)*INDEX(Routes!$Y$6:$Y$9,$C116)*F116)-5)))))</f>
        <v>0</v>
      </c>
    </row>
    <row r="117" customFormat="false" ht="15" hidden="false" customHeight="false" outlineLevel="0" collapsed="false">
      <c r="A117" s="2" t="s">
        <v>613</v>
      </c>
      <c r="B117" s="2" t="s">
        <v>592</v>
      </c>
      <c r="C117" s="13" t="n">
        <v>3</v>
      </c>
      <c r="D117" s="70" t="n">
        <v>80</v>
      </c>
      <c r="E117" s="88" t="n">
        <f aca="false">FreightMult</f>
        <v>1</v>
      </c>
      <c r="F117" s="88" t="n">
        <f aca="false">PortMult</f>
        <v>1</v>
      </c>
      <c r="G117" s="89" t="n">
        <f aca="false">UtilFH</f>
        <v>0.85</v>
      </c>
      <c r="H117" s="89" t="n">
        <f aca="false">UtilBH</f>
        <v>0.5</v>
      </c>
      <c r="I117" s="90" t="n">
        <f aca="false">Speed</f>
        <v>13.5</v>
      </c>
      <c r="J117" s="88" t="n">
        <f aca="false">PortCostMult</f>
        <v>1</v>
      </c>
      <c r="K117" s="90" t="n">
        <f aca="false">EUA</f>
        <v>75</v>
      </c>
      <c r="L117" s="71" t="n">
        <f aca="false">INDEX(Routes!$E$6:$E$9,$C117)</f>
        <v>6350</v>
      </c>
      <c r="M117" s="72" t="n">
        <f aca="false">INDEX(Routes!$F$6:$F$9,$C117)/L117</f>
        <v>0.0708661417322835</v>
      </c>
      <c r="N117" s="77" t="n">
        <f aca="false">2*L117*(1+SeaMargin)/(I117*24)</f>
        <v>41.1574074074074</v>
      </c>
      <c r="O117" s="84" t="n">
        <f aca="false">(I117/RefSpeed)^SpeedExp</f>
        <v>1</v>
      </c>
      <c r="P117" s="2" t="n">
        <f aca="false">IF(H117&gt;0,1,0)</f>
        <v>1</v>
      </c>
      <c r="Q117" s="71" t="n">
        <f aca="false">N117/2*O117*(ConsLaden+IF(P117=1,ConsLaden,ConsBallast))</f>
        <v>1111.25</v>
      </c>
      <c r="R117" s="71" t="n">
        <f aca="false">Q117*(1-M117)</f>
        <v>1032.5</v>
      </c>
      <c r="S117" s="71" t="n">
        <f aca="false">Q117*M117</f>
        <v>78.75</v>
      </c>
      <c r="T117" s="2" t="n">
        <f aca="false">1+P117</f>
        <v>2</v>
      </c>
      <c r="U117" s="77" t="n">
        <f aca="false">INDEX(Routes!$L$6:$L$9,$C117)*T117*F117</f>
        <v>7</v>
      </c>
      <c r="V117" s="77" t="n">
        <f aca="false">INDEX(Routes!$M$6:$M$9,$C117)*T117*F117</f>
        <v>8</v>
      </c>
      <c r="W117" s="77" t="n">
        <f aca="false">INDEX(Routes!$H$6:$H$9,$C117)*2</f>
        <v>2</v>
      </c>
      <c r="X117" s="71" t="n">
        <f aca="false">(U117+V117+W117)*ConsPort</f>
        <v>102</v>
      </c>
      <c r="Y117" s="67" t="n">
        <f aca="false">R117*D117*VLSFO_Mult+(S117+X117)*D117*MGO_Mult</f>
        <v>776282</v>
      </c>
      <c r="Z117" s="67" t="n">
        <f aca="false">(INDEX(Routes!$N$6:$N$9,$C117)+AN117+MIN(AC117*INDEX(Routes!$T$6:$T$9,$C117),INDEX(Routes!$V$6:$V$9,$C117))+INDEX(Routes!$O$6:$O$9,$C117)+AO117+MIN(AC117*INDEX(Routes!$U$6:$U$9,$C117),INDEX(Routes!$W$6:$W$9,$C117))+IF(P117=1,INDEX(Routes!$N$6:$N$9,$C117)+AN117+MIN(AD117*INDEX(Routes!$T$6:$T$9,$C117),INDEX(Routes!$V$6:$V$9,$C117))+INDEX(Routes!$O$6:$O$9,$C117)+AO117+MIN(AD117*INDEX(Routes!$U$6:$U$9,$C117),INDEX(Routes!$W$6:$W$9,$C117)),0))*J117</f>
        <v>231562.2096</v>
      </c>
      <c r="AA117" s="67" t="n">
        <f aca="false">INDEX(Routes!$R$6:$R$9,$C117)+IF(P117=1,INDEX(Routes!$R$6:$R$9,$C117),INDEX(Routes!$S$6:$S$9,$C117))</f>
        <v>752016</v>
      </c>
      <c r="AB117" s="67" t="n">
        <f aca="false">((R117*CO2_VLSFO+S117*CO2_MGO)*INDEX(Routes!$I$6:$I$9,$C117)+(U117*INDEX(Routes!$P$6:$P$9,$C117)+V117*INDEX(Routes!$Q$6:$Q$9,$C117))*ConsPort*CO2_MGO)*PhaseIn*K117*FX</f>
        <v>154150.486875</v>
      </c>
      <c r="AC117" s="71" t="n">
        <f aca="false">Capacity*G117</f>
        <v>30600</v>
      </c>
      <c r="AD117" s="71" t="n">
        <f aca="false">Capacity*H117</f>
        <v>18000</v>
      </c>
      <c r="AE117" s="82" t="n">
        <f aca="false">INDEX(Routes!$J$6:$J$9,$C117)*E117</f>
        <v>75</v>
      </c>
      <c r="AF117" s="82" t="n">
        <f aca="false">INDEX(Routes!$K$6:$K$9,$C117)*E117</f>
        <v>55</v>
      </c>
      <c r="AG117" s="67" t="n">
        <f aca="false">AC117*AE117+AD117*AF117</f>
        <v>3285000</v>
      </c>
      <c r="AH117" s="67" t="n">
        <f aca="false">AG117*Commission</f>
        <v>82125</v>
      </c>
      <c r="AI117" s="67" t="n">
        <f aca="false">Y117+Z117+AA117+AB117+MiscVoy</f>
        <v>1939010.696475</v>
      </c>
      <c r="AJ117" s="77" t="n">
        <f aca="false">N117+U117+V117+W117</f>
        <v>58.1574074074074</v>
      </c>
      <c r="AK117" s="94" t="n">
        <f aca="false">(AG117-AH117-AI117)/AJ117</f>
        <v>21731.7855087884</v>
      </c>
      <c r="AL117" s="67" t="n">
        <f aca="false">AG117-AH117-AI117-Benchmark*AJ117</f>
        <v>217030.970191667</v>
      </c>
      <c r="AM117" s="82" t="n">
        <f aca="false">IF(AC117&gt;0,((Benchmark*AJ117+AI117)/(1-Commission)-AD117*AF117)/AC117,0)</f>
        <v>67.7256252659069</v>
      </c>
      <c r="AN117" s="67" t="n">
        <f aca="false">LOA_ft*Port_Tariffs!$C$9*IF((INDEX(Routes!$L$6:$L$9,$C117)*INDEX(Routes!$X$6:$X$9,$C117)*F117)&lt;=2,(INDEX(Routes!$L$6:$L$9,$C117)*INDEX(Routes!$X$6:$X$9,$C117)*F117),IF((INDEX(Routes!$L$6:$L$9,$C117)*INDEX(Routes!$X$6:$X$9,$C117)*F117)&lt;=3,2+0.9*((INDEX(Routes!$L$6:$L$9,$C117)*INDEX(Routes!$X$6:$X$9,$C117)*F117)-2),IF((INDEX(Routes!$L$6:$L$9,$C117)*INDEX(Routes!$X$6:$X$9,$C117)*F117)&lt;=4,2.9+0.75*((INDEX(Routes!$L$6:$L$9,$C117)*INDEX(Routes!$X$6:$X$9,$C117)*F117)-3),IF((INDEX(Routes!$L$6:$L$9,$C117)*INDEX(Routes!$X$6:$X$9,$C117)*F117)&lt;=5,3.65+0.6*((INDEX(Routes!$L$6:$L$9,$C117)*INDEX(Routes!$X$6:$X$9,$C117)*F117)-4),4.25+0.5*((INDEX(Routes!$L$6:$L$9,$C117)*INDEX(Routes!$X$6:$X$9,$C117)*F117)-5)))))</f>
        <v>0</v>
      </c>
      <c r="AO117" s="67" t="n">
        <f aca="false">LOA_ft*Port_Tariffs!$C$9*IF((INDEX(Routes!$M$6:$M$9,$C117)*INDEX(Routes!$Y$6:$Y$9,$C117)*F117)&lt;=2,(INDEX(Routes!$M$6:$M$9,$C117)*INDEX(Routes!$Y$6:$Y$9,$C117)*F117),IF((INDEX(Routes!$M$6:$M$9,$C117)*INDEX(Routes!$Y$6:$Y$9,$C117)*F117)&lt;=3,2+0.9*((INDEX(Routes!$M$6:$M$9,$C117)*INDEX(Routes!$Y$6:$Y$9,$C117)*F117)-2),IF((INDEX(Routes!$M$6:$M$9,$C117)*INDEX(Routes!$Y$6:$Y$9,$C117)*F117)&lt;=4,2.9+0.75*((INDEX(Routes!$M$6:$M$9,$C117)*INDEX(Routes!$Y$6:$Y$9,$C117)*F117)-3),IF((INDEX(Routes!$M$6:$M$9,$C117)*INDEX(Routes!$Y$6:$Y$9,$C117)*F117)&lt;=5,3.65+0.6*((INDEX(Routes!$M$6:$M$9,$C117)*INDEX(Routes!$Y$6:$Y$9,$C117)*F117)-4),4.25+0.5*((INDEX(Routes!$M$6:$M$9,$C117)*INDEX(Routes!$Y$6:$Y$9,$C117)*F117)-5)))))</f>
        <v>0</v>
      </c>
    </row>
    <row r="118" customFormat="false" ht="15" hidden="false" customHeight="false" outlineLevel="0" collapsed="false">
      <c r="A118" s="2" t="s">
        <v>614</v>
      </c>
      <c r="B118" s="2" t="s">
        <v>592</v>
      </c>
      <c r="C118" s="13" t="n">
        <v>3</v>
      </c>
      <c r="D118" s="70" t="n">
        <v>90</v>
      </c>
      <c r="E118" s="88" t="n">
        <f aca="false">FreightMult</f>
        <v>1</v>
      </c>
      <c r="F118" s="88" t="n">
        <f aca="false">PortMult</f>
        <v>1</v>
      </c>
      <c r="G118" s="89" t="n">
        <f aca="false">UtilFH</f>
        <v>0.85</v>
      </c>
      <c r="H118" s="89" t="n">
        <f aca="false">UtilBH</f>
        <v>0.5</v>
      </c>
      <c r="I118" s="90" t="n">
        <f aca="false">Speed</f>
        <v>13.5</v>
      </c>
      <c r="J118" s="88" t="n">
        <f aca="false">PortCostMult</f>
        <v>1</v>
      </c>
      <c r="K118" s="90" t="n">
        <f aca="false">EUA</f>
        <v>75</v>
      </c>
      <c r="L118" s="71" t="n">
        <f aca="false">INDEX(Routes!$E$6:$E$9,$C118)</f>
        <v>6350</v>
      </c>
      <c r="M118" s="72" t="n">
        <f aca="false">INDEX(Routes!$F$6:$F$9,$C118)/L118</f>
        <v>0.0708661417322835</v>
      </c>
      <c r="N118" s="77" t="n">
        <f aca="false">2*L118*(1+SeaMargin)/(I118*24)</f>
        <v>41.1574074074074</v>
      </c>
      <c r="O118" s="84" t="n">
        <f aca="false">(I118/RefSpeed)^SpeedExp</f>
        <v>1</v>
      </c>
      <c r="P118" s="2" t="n">
        <f aca="false">IF(H118&gt;0,1,0)</f>
        <v>1</v>
      </c>
      <c r="Q118" s="71" t="n">
        <f aca="false">N118/2*O118*(ConsLaden+IF(P118=1,ConsLaden,ConsBallast))</f>
        <v>1111.25</v>
      </c>
      <c r="R118" s="71" t="n">
        <f aca="false">Q118*(1-M118)</f>
        <v>1032.5</v>
      </c>
      <c r="S118" s="71" t="n">
        <f aca="false">Q118*M118</f>
        <v>78.75</v>
      </c>
      <c r="T118" s="2" t="n">
        <f aca="false">1+P118</f>
        <v>2</v>
      </c>
      <c r="U118" s="77" t="n">
        <f aca="false">INDEX(Routes!$L$6:$L$9,$C118)*T118*F118</f>
        <v>7</v>
      </c>
      <c r="V118" s="77" t="n">
        <f aca="false">INDEX(Routes!$M$6:$M$9,$C118)*T118*F118</f>
        <v>8</v>
      </c>
      <c r="W118" s="77" t="n">
        <f aca="false">INDEX(Routes!$H$6:$H$9,$C118)*2</f>
        <v>2</v>
      </c>
      <c r="X118" s="71" t="n">
        <f aca="false">(U118+V118+W118)*ConsPort</f>
        <v>102</v>
      </c>
      <c r="Y118" s="67" t="n">
        <f aca="false">R118*D118*VLSFO_Mult+(S118+X118)*D118*MGO_Mult</f>
        <v>873317.25</v>
      </c>
      <c r="Z118" s="67" t="n">
        <f aca="false">(INDEX(Routes!$N$6:$N$9,$C118)+AN118+MIN(AC118*INDEX(Routes!$T$6:$T$9,$C118),INDEX(Routes!$V$6:$V$9,$C118))+INDEX(Routes!$O$6:$O$9,$C118)+AO118+MIN(AC118*INDEX(Routes!$U$6:$U$9,$C118),INDEX(Routes!$W$6:$W$9,$C118))+IF(P118=1,INDEX(Routes!$N$6:$N$9,$C118)+AN118+MIN(AD118*INDEX(Routes!$T$6:$T$9,$C118),INDEX(Routes!$V$6:$V$9,$C118))+INDEX(Routes!$O$6:$O$9,$C118)+AO118+MIN(AD118*INDEX(Routes!$U$6:$U$9,$C118),INDEX(Routes!$W$6:$W$9,$C118)),0))*J118</f>
        <v>231562.2096</v>
      </c>
      <c r="AA118" s="67" t="n">
        <f aca="false">INDEX(Routes!$R$6:$R$9,$C118)+IF(P118=1,INDEX(Routes!$R$6:$R$9,$C118),INDEX(Routes!$S$6:$S$9,$C118))</f>
        <v>752016</v>
      </c>
      <c r="AB118" s="67" t="n">
        <f aca="false">((R118*CO2_VLSFO+S118*CO2_MGO)*INDEX(Routes!$I$6:$I$9,$C118)+(U118*INDEX(Routes!$P$6:$P$9,$C118)+V118*INDEX(Routes!$Q$6:$Q$9,$C118))*ConsPort*CO2_MGO)*PhaseIn*K118*FX</f>
        <v>154150.486875</v>
      </c>
      <c r="AC118" s="71" t="n">
        <f aca="false">Capacity*G118</f>
        <v>30600</v>
      </c>
      <c r="AD118" s="71" t="n">
        <f aca="false">Capacity*H118</f>
        <v>18000</v>
      </c>
      <c r="AE118" s="82" t="n">
        <f aca="false">INDEX(Routes!$J$6:$J$9,$C118)*E118</f>
        <v>75</v>
      </c>
      <c r="AF118" s="82" t="n">
        <f aca="false">INDEX(Routes!$K$6:$K$9,$C118)*E118</f>
        <v>55</v>
      </c>
      <c r="AG118" s="67" t="n">
        <f aca="false">AC118*AE118+AD118*AF118</f>
        <v>3285000</v>
      </c>
      <c r="AH118" s="67" t="n">
        <f aca="false">AG118*Commission</f>
        <v>82125</v>
      </c>
      <c r="AI118" s="67" t="n">
        <f aca="false">Y118+Z118+AA118+AB118+MiscVoy</f>
        <v>2036045.946475</v>
      </c>
      <c r="AJ118" s="77" t="n">
        <f aca="false">N118+U118+V118+W118</f>
        <v>58.1574074074074</v>
      </c>
      <c r="AK118" s="94" t="n">
        <f aca="false">(AG118-AH118-AI118)/AJ118</f>
        <v>20063.2921160166</v>
      </c>
      <c r="AL118" s="67" t="n">
        <f aca="false">AG118-AH118-AI118-Benchmark*AJ118</f>
        <v>119995.720191667</v>
      </c>
      <c r="AM118" s="82" t="n">
        <f aca="false">IF(AC118&gt;0,((Benchmark*AJ118+AI118)/(1-Commission)-AD118*AF118)/AC118,0)</f>
        <v>70.9780217800682</v>
      </c>
      <c r="AN118" s="67" t="n">
        <f aca="false">LOA_ft*Port_Tariffs!$C$9*IF((INDEX(Routes!$L$6:$L$9,$C118)*INDEX(Routes!$X$6:$X$9,$C118)*F118)&lt;=2,(INDEX(Routes!$L$6:$L$9,$C118)*INDEX(Routes!$X$6:$X$9,$C118)*F118),IF((INDEX(Routes!$L$6:$L$9,$C118)*INDEX(Routes!$X$6:$X$9,$C118)*F118)&lt;=3,2+0.9*((INDEX(Routes!$L$6:$L$9,$C118)*INDEX(Routes!$X$6:$X$9,$C118)*F118)-2),IF((INDEX(Routes!$L$6:$L$9,$C118)*INDEX(Routes!$X$6:$X$9,$C118)*F118)&lt;=4,2.9+0.75*((INDEX(Routes!$L$6:$L$9,$C118)*INDEX(Routes!$X$6:$X$9,$C118)*F118)-3),IF((INDEX(Routes!$L$6:$L$9,$C118)*INDEX(Routes!$X$6:$X$9,$C118)*F118)&lt;=5,3.65+0.6*((INDEX(Routes!$L$6:$L$9,$C118)*INDEX(Routes!$X$6:$X$9,$C118)*F118)-4),4.25+0.5*((INDEX(Routes!$L$6:$L$9,$C118)*INDEX(Routes!$X$6:$X$9,$C118)*F118)-5)))))</f>
        <v>0</v>
      </c>
      <c r="AO118" s="67" t="n">
        <f aca="false">LOA_ft*Port_Tariffs!$C$9*IF((INDEX(Routes!$M$6:$M$9,$C118)*INDEX(Routes!$Y$6:$Y$9,$C118)*F118)&lt;=2,(INDEX(Routes!$M$6:$M$9,$C118)*INDEX(Routes!$Y$6:$Y$9,$C118)*F118),IF((INDEX(Routes!$M$6:$M$9,$C118)*INDEX(Routes!$Y$6:$Y$9,$C118)*F118)&lt;=3,2+0.9*((INDEX(Routes!$M$6:$M$9,$C118)*INDEX(Routes!$Y$6:$Y$9,$C118)*F118)-2),IF((INDEX(Routes!$M$6:$M$9,$C118)*INDEX(Routes!$Y$6:$Y$9,$C118)*F118)&lt;=4,2.9+0.75*((INDEX(Routes!$M$6:$M$9,$C118)*INDEX(Routes!$Y$6:$Y$9,$C118)*F118)-3),IF((INDEX(Routes!$M$6:$M$9,$C118)*INDEX(Routes!$Y$6:$Y$9,$C118)*F118)&lt;=5,3.65+0.6*((INDEX(Routes!$M$6:$M$9,$C118)*INDEX(Routes!$Y$6:$Y$9,$C118)*F118)-4),4.25+0.5*((INDEX(Routes!$M$6:$M$9,$C118)*INDEX(Routes!$Y$6:$Y$9,$C118)*F118)-5)))))</f>
        <v>0</v>
      </c>
    </row>
    <row r="119" customFormat="false" ht="15" hidden="false" customHeight="false" outlineLevel="0" collapsed="false">
      <c r="A119" s="2" t="s">
        <v>615</v>
      </c>
      <c r="B119" s="2" t="s">
        <v>592</v>
      </c>
      <c r="C119" s="13" t="n">
        <v>3</v>
      </c>
      <c r="D119" s="70" t="n">
        <v>100</v>
      </c>
      <c r="E119" s="88" t="n">
        <f aca="false">FreightMult</f>
        <v>1</v>
      </c>
      <c r="F119" s="88" t="n">
        <f aca="false">PortMult</f>
        <v>1</v>
      </c>
      <c r="G119" s="89" t="n">
        <f aca="false">UtilFH</f>
        <v>0.85</v>
      </c>
      <c r="H119" s="89" t="n">
        <f aca="false">UtilBH</f>
        <v>0.5</v>
      </c>
      <c r="I119" s="90" t="n">
        <f aca="false">Speed</f>
        <v>13.5</v>
      </c>
      <c r="J119" s="88" t="n">
        <f aca="false">PortCostMult</f>
        <v>1</v>
      </c>
      <c r="K119" s="90" t="n">
        <f aca="false">EUA</f>
        <v>75</v>
      </c>
      <c r="L119" s="71" t="n">
        <f aca="false">INDEX(Routes!$E$6:$E$9,$C119)</f>
        <v>6350</v>
      </c>
      <c r="M119" s="72" t="n">
        <f aca="false">INDEX(Routes!$F$6:$F$9,$C119)/L119</f>
        <v>0.0708661417322835</v>
      </c>
      <c r="N119" s="77" t="n">
        <f aca="false">2*L119*(1+SeaMargin)/(I119*24)</f>
        <v>41.1574074074074</v>
      </c>
      <c r="O119" s="84" t="n">
        <f aca="false">(I119/RefSpeed)^SpeedExp</f>
        <v>1</v>
      </c>
      <c r="P119" s="2" t="n">
        <f aca="false">IF(H119&gt;0,1,0)</f>
        <v>1</v>
      </c>
      <c r="Q119" s="71" t="n">
        <f aca="false">N119/2*O119*(ConsLaden+IF(P119=1,ConsLaden,ConsBallast))</f>
        <v>1111.25</v>
      </c>
      <c r="R119" s="71" t="n">
        <f aca="false">Q119*(1-M119)</f>
        <v>1032.5</v>
      </c>
      <c r="S119" s="71" t="n">
        <f aca="false">Q119*M119</f>
        <v>78.75</v>
      </c>
      <c r="T119" s="2" t="n">
        <f aca="false">1+P119</f>
        <v>2</v>
      </c>
      <c r="U119" s="77" t="n">
        <f aca="false">INDEX(Routes!$L$6:$L$9,$C119)*T119*F119</f>
        <v>7</v>
      </c>
      <c r="V119" s="77" t="n">
        <f aca="false">INDEX(Routes!$M$6:$M$9,$C119)*T119*F119</f>
        <v>8</v>
      </c>
      <c r="W119" s="77" t="n">
        <f aca="false">INDEX(Routes!$H$6:$H$9,$C119)*2</f>
        <v>2</v>
      </c>
      <c r="X119" s="71" t="n">
        <f aca="false">(U119+V119+W119)*ConsPort</f>
        <v>102</v>
      </c>
      <c r="Y119" s="67" t="n">
        <f aca="false">R119*D119*VLSFO_Mult+(S119+X119)*D119*MGO_Mult</f>
        <v>970352.5</v>
      </c>
      <c r="Z119" s="67" t="n">
        <f aca="false">(INDEX(Routes!$N$6:$N$9,$C119)+AN119+MIN(AC119*INDEX(Routes!$T$6:$T$9,$C119),INDEX(Routes!$V$6:$V$9,$C119))+INDEX(Routes!$O$6:$O$9,$C119)+AO119+MIN(AC119*INDEX(Routes!$U$6:$U$9,$C119),INDEX(Routes!$W$6:$W$9,$C119))+IF(P119=1,INDEX(Routes!$N$6:$N$9,$C119)+AN119+MIN(AD119*INDEX(Routes!$T$6:$T$9,$C119),INDEX(Routes!$V$6:$V$9,$C119))+INDEX(Routes!$O$6:$O$9,$C119)+AO119+MIN(AD119*INDEX(Routes!$U$6:$U$9,$C119),INDEX(Routes!$W$6:$W$9,$C119)),0))*J119</f>
        <v>231562.2096</v>
      </c>
      <c r="AA119" s="67" t="n">
        <f aca="false">INDEX(Routes!$R$6:$R$9,$C119)+IF(P119=1,INDEX(Routes!$R$6:$R$9,$C119),INDEX(Routes!$S$6:$S$9,$C119))</f>
        <v>752016</v>
      </c>
      <c r="AB119" s="67" t="n">
        <f aca="false">((R119*CO2_VLSFO+S119*CO2_MGO)*INDEX(Routes!$I$6:$I$9,$C119)+(U119*INDEX(Routes!$P$6:$P$9,$C119)+V119*INDEX(Routes!$Q$6:$Q$9,$C119))*ConsPort*CO2_MGO)*PhaseIn*K119*FX</f>
        <v>154150.486875</v>
      </c>
      <c r="AC119" s="71" t="n">
        <f aca="false">Capacity*G119</f>
        <v>30600</v>
      </c>
      <c r="AD119" s="71" t="n">
        <f aca="false">Capacity*H119</f>
        <v>18000</v>
      </c>
      <c r="AE119" s="82" t="n">
        <f aca="false">INDEX(Routes!$J$6:$J$9,$C119)*E119</f>
        <v>75</v>
      </c>
      <c r="AF119" s="82" t="n">
        <f aca="false">INDEX(Routes!$K$6:$K$9,$C119)*E119</f>
        <v>55</v>
      </c>
      <c r="AG119" s="67" t="n">
        <f aca="false">AC119*AE119+AD119*AF119</f>
        <v>3285000</v>
      </c>
      <c r="AH119" s="67" t="n">
        <f aca="false">AG119*Commission</f>
        <v>82125</v>
      </c>
      <c r="AI119" s="67" t="n">
        <f aca="false">Y119+Z119+AA119+AB119+MiscVoy</f>
        <v>2133081.196475</v>
      </c>
      <c r="AJ119" s="77" t="n">
        <f aca="false">N119+U119+V119+W119</f>
        <v>58.1574074074074</v>
      </c>
      <c r="AK119" s="94" t="n">
        <f aca="false">(AG119-AH119-AI119)/AJ119</f>
        <v>18394.7987232447</v>
      </c>
      <c r="AL119" s="67" t="n">
        <f aca="false">AG119-AH119-AI119-Benchmark*AJ119</f>
        <v>22960.4701916666</v>
      </c>
      <c r="AM119" s="82" t="n">
        <f aca="false">IF(AC119&gt;0,((Benchmark*AJ119+AI119)/(1-Commission)-AD119*AF119)/AC119,0)</f>
        <v>74.2304182942294</v>
      </c>
      <c r="AN119" s="67" t="n">
        <f aca="false">LOA_ft*Port_Tariffs!$C$9*IF((INDEX(Routes!$L$6:$L$9,$C119)*INDEX(Routes!$X$6:$X$9,$C119)*F119)&lt;=2,(INDEX(Routes!$L$6:$L$9,$C119)*INDEX(Routes!$X$6:$X$9,$C119)*F119),IF((INDEX(Routes!$L$6:$L$9,$C119)*INDEX(Routes!$X$6:$X$9,$C119)*F119)&lt;=3,2+0.9*((INDEX(Routes!$L$6:$L$9,$C119)*INDEX(Routes!$X$6:$X$9,$C119)*F119)-2),IF((INDEX(Routes!$L$6:$L$9,$C119)*INDEX(Routes!$X$6:$X$9,$C119)*F119)&lt;=4,2.9+0.75*((INDEX(Routes!$L$6:$L$9,$C119)*INDEX(Routes!$X$6:$X$9,$C119)*F119)-3),IF((INDEX(Routes!$L$6:$L$9,$C119)*INDEX(Routes!$X$6:$X$9,$C119)*F119)&lt;=5,3.65+0.6*((INDEX(Routes!$L$6:$L$9,$C119)*INDEX(Routes!$X$6:$X$9,$C119)*F119)-4),4.25+0.5*((INDEX(Routes!$L$6:$L$9,$C119)*INDEX(Routes!$X$6:$X$9,$C119)*F119)-5)))))</f>
        <v>0</v>
      </c>
      <c r="AO119" s="67" t="n">
        <f aca="false">LOA_ft*Port_Tariffs!$C$9*IF((INDEX(Routes!$M$6:$M$9,$C119)*INDEX(Routes!$Y$6:$Y$9,$C119)*F119)&lt;=2,(INDEX(Routes!$M$6:$M$9,$C119)*INDEX(Routes!$Y$6:$Y$9,$C119)*F119),IF((INDEX(Routes!$M$6:$M$9,$C119)*INDEX(Routes!$Y$6:$Y$9,$C119)*F119)&lt;=3,2+0.9*((INDEX(Routes!$M$6:$M$9,$C119)*INDEX(Routes!$Y$6:$Y$9,$C119)*F119)-2),IF((INDEX(Routes!$M$6:$M$9,$C119)*INDEX(Routes!$Y$6:$Y$9,$C119)*F119)&lt;=4,2.9+0.75*((INDEX(Routes!$M$6:$M$9,$C119)*INDEX(Routes!$Y$6:$Y$9,$C119)*F119)-3),IF((INDEX(Routes!$M$6:$M$9,$C119)*INDEX(Routes!$Y$6:$Y$9,$C119)*F119)&lt;=5,3.65+0.6*((INDEX(Routes!$M$6:$M$9,$C119)*INDEX(Routes!$Y$6:$Y$9,$C119)*F119)-4),4.25+0.5*((INDEX(Routes!$M$6:$M$9,$C119)*INDEX(Routes!$Y$6:$Y$9,$C119)*F119)-5)))))</f>
        <v>0</v>
      </c>
    </row>
    <row r="120" customFormat="false" ht="15" hidden="false" customHeight="false" outlineLevel="0" collapsed="false">
      <c r="A120" s="2" t="s">
        <v>616</v>
      </c>
      <c r="B120" s="2" t="s">
        <v>592</v>
      </c>
      <c r="C120" s="13" t="n">
        <v>3</v>
      </c>
      <c r="D120" s="70" t="n">
        <v>110</v>
      </c>
      <c r="E120" s="88" t="n">
        <f aca="false">FreightMult</f>
        <v>1</v>
      </c>
      <c r="F120" s="88" t="n">
        <f aca="false">PortMult</f>
        <v>1</v>
      </c>
      <c r="G120" s="89" t="n">
        <f aca="false">UtilFH</f>
        <v>0.85</v>
      </c>
      <c r="H120" s="89" t="n">
        <f aca="false">UtilBH</f>
        <v>0.5</v>
      </c>
      <c r="I120" s="90" t="n">
        <f aca="false">Speed</f>
        <v>13.5</v>
      </c>
      <c r="J120" s="88" t="n">
        <f aca="false">PortCostMult</f>
        <v>1</v>
      </c>
      <c r="K120" s="90" t="n">
        <f aca="false">EUA</f>
        <v>75</v>
      </c>
      <c r="L120" s="71" t="n">
        <f aca="false">INDEX(Routes!$E$6:$E$9,$C120)</f>
        <v>6350</v>
      </c>
      <c r="M120" s="72" t="n">
        <f aca="false">INDEX(Routes!$F$6:$F$9,$C120)/L120</f>
        <v>0.0708661417322835</v>
      </c>
      <c r="N120" s="77" t="n">
        <f aca="false">2*L120*(1+SeaMargin)/(I120*24)</f>
        <v>41.1574074074074</v>
      </c>
      <c r="O120" s="84" t="n">
        <f aca="false">(I120/RefSpeed)^SpeedExp</f>
        <v>1</v>
      </c>
      <c r="P120" s="2" t="n">
        <f aca="false">IF(H120&gt;0,1,0)</f>
        <v>1</v>
      </c>
      <c r="Q120" s="71" t="n">
        <f aca="false">N120/2*O120*(ConsLaden+IF(P120=1,ConsLaden,ConsBallast))</f>
        <v>1111.25</v>
      </c>
      <c r="R120" s="71" t="n">
        <f aca="false">Q120*(1-M120)</f>
        <v>1032.5</v>
      </c>
      <c r="S120" s="71" t="n">
        <f aca="false">Q120*M120</f>
        <v>78.75</v>
      </c>
      <c r="T120" s="2" t="n">
        <f aca="false">1+P120</f>
        <v>2</v>
      </c>
      <c r="U120" s="77" t="n">
        <f aca="false">INDEX(Routes!$L$6:$L$9,$C120)*T120*F120</f>
        <v>7</v>
      </c>
      <c r="V120" s="77" t="n">
        <f aca="false">INDEX(Routes!$M$6:$M$9,$C120)*T120*F120</f>
        <v>8</v>
      </c>
      <c r="W120" s="77" t="n">
        <f aca="false">INDEX(Routes!$H$6:$H$9,$C120)*2</f>
        <v>2</v>
      </c>
      <c r="X120" s="71" t="n">
        <f aca="false">(U120+V120+W120)*ConsPort</f>
        <v>102</v>
      </c>
      <c r="Y120" s="67" t="n">
        <f aca="false">R120*D120*VLSFO_Mult+(S120+X120)*D120*MGO_Mult</f>
        <v>1067387.75</v>
      </c>
      <c r="Z120" s="67" t="n">
        <f aca="false">(INDEX(Routes!$N$6:$N$9,$C120)+AN120+MIN(AC120*INDEX(Routes!$T$6:$T$9,$C120),INDEX(Routes!$V$6:$V$9,$C120))+INDEX(Routes!$O$6:$O$9,$C120)+AO120+MIN(AC120*INDEX(Routes!$U$6:$U$9,$C120),INDEX(Routes!$W$6:$W$9,$C120))+IF(P120=1,INDEX(Routes!$N$6:$N$9,$C120)+AN120+MIN(AD120*INDEX(Routes!$T$6:$T$9,$C120),INDEX(Routes!$V$6:$V$9,$C120))+INDEX(Routes!$O$6:$O$9,$C120)+AO120+MIN(AD120*INDEX(Routes!$U$6:$U$9,$C120),INDEX(Routes!$W$6:$W$9,$C120)),0))*J120</f>
        <v>231562.2096</v>
      </c>
      <c r="AA120" s="67" t="n">
        <f aca="false">INDEX(Routes!$R$6:$R$9,$C120)+IF(P120=1,INDEX(Routes!$R$6:$R$9,$C120),INDEX(Routes!$S$6:$S$9,$C120))</f>
        <v>752016</v>
      </c>
      <c r="AB120" s="67" t="n">
        <f aca="false">((R120*CO2_VLSFO+S120*CO2_MGO)*INDEX(Routes!$I$6:$I$9,$C120)+(U120*INDEX(Routes!$P$6:$P$9,$C120)+V120*INDEX(Routes!$Q$6:$Q$9,$C120))*ConsPort*CO2_MGO)*PhaseIn*K120*FX</f>
        <v>154150.486875</v>
      </c>
      <c r="AC120" s="71" t="n">
        <f aca="false">Capacity*G120</f>
        <v>30600</v>
      </c>
      <c r="AD120" s="71" t="n">
        <f aca="false">Capacity*H120</f>
        <v>18000</v>
      </c>
      <c r="AE120" s="82" t="n">
        <f aca="false">INDEX(Routes!$J$6:$J$9,$C120)*E120</f>
        <v>75</v>
      </c>
      <c r="AF120" s="82" t="n">
        <f aca="false">INDEX(Routes!$K$6:$K$9,$C120)*E120</f>
        <v>55</v>
      </c>
      <c r="AG120" s="67" t="n">
        <f aca="false">AC120*AE120+AD120*AF120</f>
        <v>3285000</v>
      </c>
      <c r="AH120" s="67" t="n">
        <f aca="false">AG120*Commission</f>
        <v>82125</v>
      </c>
      <c r="AI120" s="67" t="n">
        <f aca="false">Y120+Z120+AA120+AB120+MiscVoy</f>
        <v>2230116.446475</v>
      </c>
      <c r="AJ120" s="77" t="n">
        <f aca="false">N120+U120+V120+W120</f>
        <v>58.1574074074074</v>
      </c>
      <c r="AK120" s="94" t="n">
        <f aca="false">(AG120-AH120-AI120)/AJ120</f>
        <v>16726.3053304729</v>
      </c>
      <c r="AL120" s="67" t="n">
        <f aca="false">AG120-AH120-AI120-Benchmark*AJ120</f>
        <v>-74074.7798083334</v>
      </c>
      <c r="AM120" s="82" t="n">
        <f aca="false">IF(AC120&gt;0,((Benchmark*AJ120+AI120)/(1-Commission)-AD120*AF120)/AC120,0)</f>
        <v>77.4828148083906</v>
      </c>
      <c r="AN120" s="67" t="n">
        <f aca="false">LOA_ft*Port_Tariffs!$C$9*IF((INDEX(Routes!$L$6:$L$9,$C120)*INDEX(Routes!$X$6:$X$9,$C120)*F120)&lt;=2,(INDEX(Routes!$L$6:$L$9,$C120)*INDEX(Routes!$X$6:$X$9,$C120)*F120),IF((INDEX(Routes!$L$6:$L$9,$C120)*INDEX(Routes!$X$6:$X$9,$C120)*F120)&lt;=3,2+0.9*((INDEX(Routes!$L$6:$L$9,$C120)*INDEX(Routes!$X$6:$X$9,$C120)*F120)-2),IF((INDEX(Routes!$L$6:$L$9,$C120)*INDEX(Routes!$X$6:$X$9,$C120)*F120)&lt;=4,2.9+0.75*((INDEX(Routes!$L$6:$L$9,$C120)*INDEX(Routes!$X$6:$X$9,$C120)*F120)-3),IF((INDEX(Routes!$L$6:$L$9,$C120)*INDEX(Routes!$X$6:$X$9,$C120)*F120)&lt;=5,3.65+0.6*((INDEX(Routes!$L$6:$L$9,$C120)*INDEX(Routes!$X$6:$X$9,$C120)*F120)-4),4.25+0.5*((INDEX(Routes!$L$6:$L$9,$C120)*INDEX(Routes!$X$6:$X$9,$C120)*F120)-5)))))</f>
        <v>0</v>
      </c>
      <c r="AO120" s="67" t="n">
        <f aca="false">LOA_ft*Port_Tariffs!$C$9*IF((INDEX(Routes!$M$6:$M$9,$C120)*INDEX(Routes!$Y$6:$Y$9,$C120)*F120)&lt;=2,(INDEX(Routes!$M$6:$M$9,$C120)*INDEX(Routes!$Y$6:$Y$9,$C120)*F120),IF((INDEX(Routes!$M$6:$M$9,$C120)*INDEX(Routes!$Y$6:$Y$9,$C120)*F120)&lt;=3,2+0.9*((INDEX(Routes!$M$6:$M$9,$C120)*INDEX(Routes!$Y$6:$Y$9,$C120)*F120)-2),IF((INDEX(Routes!$M$6:$M$9,$C120)*INDEX(Routes!$Y$6:$Y$9,$C120)*F120)&lt;=4,2.9+0.75*((INDEX(Routes!$M$6:$M$9,$C120)*INDEX(Routes!$Y$6:$Y$9,$C120)*F120)-3),IF((INDEX(Routes!$M$6:$M$9,$C120)*INDEX(Routes!$Y$6:$Y$9,$C120)*F120)&lt;=5,3.65+0.6*((INDEX(Routes!$M$6:$M$9,$C120)*INDEX(Routes!$Y$6:$Y$9,$C120)*F120)-4),4.25+0.5*((INDEX(Routes!$M$6:$M$9,$C120)*INDEX(Routes!$Y$6:$Y$9,$C120)*F120)-5)))))</f>
        <v>0</v>
      </c>
    </row>
    <row r="121" customFormat="false" ht="15" hidden="false" customHeight="false" outlineLevel="0" collapsed="false">
      <c r="A121" s="2" t="s">
        <v>617</v>
      </c>
      <c r="B121" s="2" t="s">
        <v>592</v>
      </c>
      <c r="C121" s="13" t="n">
        <v>3</v>
      </c>
      <c r="D121" s="70" t="n">
        <v>120</v>
      </c>
      <c r="E121" s="88" t="n">
        <f aca="false">FreightMult</f>
        <v>1</v>
      </c>
      <c r="F121" s="88" t="n">
        <f aca="false">PortMult</f>
        <v>1</v>
      </c>
      <c r="G121" s="89" t="n">
        <f aca="false">UtilFH</f>
        <v>0.85</v>
      </c>
      <c r="H121" s="89" t="n">
        <f aca="false">UtilBH</f>
        <v>0.5</v>
      </c>
      <c r="I121" s="90" t="n">
        <f aca="false">Speed</f>
        <v>13.5</v>
      </c>
      <c r="J121" s="88" t="n">
        <f aca="false">PortCostMult</f>
        <v>1</v>
      </c>
      <c r="K121" s="90" t="n">
        <f aca="false">EUA</f>
        <v>75</v>
      </c>
      <c r="L121" s="71" t="n">
        <f aca="false">INDEX(Routes!$E$6:$E$9,$C121)</f>
        <v>6350</v>
      </c>
      <c r="M121" s="72" t="n">
        <f aca="false">INDEX(Routes!$F$6:$F$9,$C121)/L121</f>
        <v>0.0708661417322835</v>
      </c>
      <c r="N121" s="77" t="n">
        <f aca="false">2*L121*(1+SeaMargin)/(I121*24)</f>
        <v>41.1574074074074</v>
      </c>
      <c r="O121" s="84" t="n">
        <f aca="false">(I121/RefSpeed)^SpeedExp</f>
        <v>1</v>
      </c>
      <c r="P121" s="2" t="n">
        <f aca="false">IF(H121&gt;0,1,0)</f>
        <v>1</v>
      </c>
      <c r="Q121" s="71" t="n">
        <f aca="false">N121/2*O121*(ConsLaden+IF(P121=1,ConsLaden,ConsBallast))</f>
        <v>1111.25</v>
      </c>
      <c r="R121" s="71" t="n">
        <f aca="false">Q121*(1-M121)</f>
        <v>1032.5</v>
      </c>
      <c r="S121" s="71" t="n">
        <f aca="false">Q121*M121</f>
        <v>78.75</v>
      </c>
      <c r="T121" s="2" t="n">
        <f aca="false">1+P121</f>
        <v>2</v>
      </c>
      <c r="U121" s="77" t="n">
        <f aca="false">INDEX(Routes!$L$6:$L$9,$C121)*T121*F121</f>
        <v>7</v>
      </c>
      <c r="V121" s="77" t="n">
        <f aca="false">INDEX(Routes!$M$6:$M$9,$C121)*T121*F121</f>
        <v>8</v>
      </c>
      <c r="W121" s="77" t="n">
        <f aca="false">INDEX(Routes!$H$6:$H$9,$C121)*2</f>
        <v>2</v>
      </c>
      <c r="X121" s="71" t="n">
        <f aca="false">(U121+V121+W121)*ConsPort</f>
        <v>102</v>
      </c>
      <c r="Y121" s="67" t="n">
        <f aca="false">R121*D121*VLSFO_Mult+(S121+X121)*D121*MGO_Mult</f>
        <v>1164423</v>
      </c>
      <c r="Z121" s="67" t="n">
        <f aca="false">(INDEX(Routes!$N$6:$N$9,$C121)+AN121+MIN(AC121*INDEX(Routes!$T$6:$T$9,$C121),INDEX(Routes!$V$6:$V$9,$C121))+INDEX(Routes!$O$6:$O$9,$C121)+AO121+MIN(AC121*INDEX(Routes!$U$6:$U$9,$C121),INDEX(Routes!$W$6:$W$9,$C121))+IF(P121=1,INDEX(Routes!$N$6:$N$9,$C121)+AN121+MIN(AD121*INDEX(Routes!$T$6:$T$9,$C121),INDEX(Routes!$V$6:$V$9,$C121))+INDEX(Routes!$O$6:$O$9,$C121)+AO121+MIN(AD121*INDEX(Routes!$U$6:$U$9,$C121),INDEX(Routes!$W$6:$W$9,$C121)),0))*J121</f>
        <v>231562.2096</v>
      </c>
      <c r="AA121" s="67" t="n">
        <f aca="false">INDEX(Routes!$R$6:$R$9,$C121)+IF(P121=1,INDEX(Routes!$R$6:$R$9,$C121),INDEX(Routes!$S$6:$S$9,$C121))</f>
        <v>752016</v>
      </c>
      <c r="AB121" s="67" t="n">
        <f aca="false">((R121*CO2_VLSFO+S121*CO2_MGO)*INDEX(Routes!$I$6:$I$9,$C121)+(U121*INDEX(Routes!$P$6:$P$9,$C121)+V121*INDEX(Routes!$Q$6:$Q$9,$C121))*ConsPort*CO2_MGO)*PhaseIn*K121*FX</f>
        <v>154150.486875</v>
      </c>
      <c r="AC121" s="71" t="n">
        <f aca="false">Capacity*G121</f>
        <v>30600</v>
      </c>
      <c r="AD121" s="71" t="n">
        <f aca="false">Capacity*H121</f>
        <v>18000</v>
      </c>
      <c r="AE121" s="82" t="n">
        <f aca="false">INDEX(Routes!$J$6:$J$9,$C121)*E121</f>
        <v>75</v>
      </c>
      <c r="AF121" s="82" t="n">
        <f aca="false">INDEX(Routes!$K$6:$K$9,$C121)*E121</f>
        <v>55</v>
      </c>
      <c r="AG121" s="67" t="n">
        <f aca="false">AC121*AE121+AD121*AF121</f>
        <v>3285000</v>
      </c>
      <c r="AH121" s="67" t="n">
        <f aca="false">AG121*Commission</f>
        <v>82125</v>
      </c>
      <c r="AI121" s="67" t="n">
        <f aca="false">Y121+Z121+AA121+AB121+MiscVoy</f>
        <v>2327151.696475</v>
      </c>
      <c r="AJ121" s="77" t="n">
        <f aca="false">N121+U121+V121+W121</f>
        <v>58.1574074074074</v>
      </c>
      <c r="AK121" s="94" t="n">
        <f aca="false">(AG121-AH121-AI121)/AJ121</f>
        <v>15057.811937701</v>
      </c>
      <c r="AL121" s="67" t="n">
        <f aca="false">AG121-AH121-AI121-Benchmark*AJ121</f>
        <v>-171110.029808333</v>
      </c>
      <c r="AM121" s="82" t="n">
        <f aca="false">IF(AC121&gt;0,((Benchmark*AJ121+AI121)/(1-Commission)-AD121*AF121)/AC121,0)</f>
        <v>80.7352113225518</v>
      </c>
      <c r="AN121" s="67" t="n">
        <f aca="false">LOA_ft*Port_Tariffs!$C$9*IF((INDEX(Routes!$L$6:$L$9,$C121)*INDEX(Routes!$X$6:$X$9,$C121)*F121)&lt;=2,(INDEX(Routes!$L$6:$L$9,$C121)*INDEX(Routes!$X$6:$X$9,$C121)*F121),IF((INDEX(Routes!$L$6:$L$9,$C121)*INDEX(Routes!$X$6:$X$9,$C121)*F121)&lt;=3,2+0.9*((INDEX(Routes!$L$6:$L$9,$C121)*INDEX(Routes!$X$6:$X$9,$C121)*F121)-2),IF((INDEX(Routes!$L$6:$L$9,$C121)*INDEX(Routes!$X$6:$X$9,$C121)*F121)&lt;=4,2.9+0.75*((INDEX(Routes!$L$6:$L$9,$C121)*INDEX(Routes!$X$6:$X$9,$C121)*F121)-3),IF((INDEX(Routes!$L$6:$L$9,$C121)*INDEX(Routes!$X$6:$X$9,$C121)*F121)&lt;=5,3.65+0.6*((INDEX(Routes!$L$6:$L$9,$C121)*INDEX(Routes!$X$6:$X$9,$C121)*F121)-4),4.25+0.5*((INDEX(Routes!$L$6:$L$9,$C121)*INDEX(Routes!$X$6:$X$9,$C121)*F121)-5)))))</f>
        <v>0</v>
      </c>
      <c r="AO121" s="67" t="n">
        <f aca="false">LOA_ft*Port_Tariffs!$C$9*IF((INDEX(Routes!$M$6:$M$9,$C121)*INDEX(Routes!$Y$6:$Y$9,$C121)*F121)&lt;=2,(INDEX(Routes!$M$6:$M$9,$C121)*INDEX(Routes!$Y$6:$Y$9,$C121)*F121),IF((INDEX(Routes!$M$6:$M$9,$C121)*INDEX(Routes!$Y$6:$Y$9,$C121)*F121)&lt;=3,2+0.9*((INDEX(Routes!$M$6:$M$9,$C121)*INDEX(Routes!$Y$6:$Y$9,$C121)*F121)-2),IF((INDEX(Routes!$M$6:$M$9,$C121)*INDEX(Routes!$Y$6:$Y$9,$C121)*F121)&lt;=4,2.9+0.75*((INDEX(Routes!$M$6:$M$9,$C121)*INDEX(Routes!$Y$6:$Y$9,$C121)*F121)-3),IF((INDEX(Routes!$M$6:$M$9,$C121)*INDEX(Routes!$Y$6:$Y$9,$C121)*F121)&lt;=5,3.65+0.6*((INDEX(Routes!$M$6:$M$9,$C121)*INDEX(Routes!$Y$6:$Y$9,$C121)*F121)-4),4.25+0.5*((INDEX(Routes!$M$6:$M$9,$C121)*INDEX(Routes!$Y$6:$Y$9,$C121)*F121)-5)))))</f>
        <v>0</v>
      </c>
    </row>
    <row r="122" customFormat="false" ht="15" hidden="false" customHeight="false" outlineLevel="0" collapsed="false">
      <c r="A122" s="2" t="s">
        <v>618</v>
      </c>
      <c r="B122" s="2" t="s">
        <v>592</v>
      </c>
      <c r="C122" s="13" t="n">
        <v>3</v>
      </c>
      <c r="D122" s="70" t="n">
        <v>130</v>
      </c>
      <c r="E122" s="88" t="n">
        <f aca="false">FreightMult</f>
        <v>1</v>
      </c>
      <c r="F122" s="88" t="n">
        <f aca="false">PortMult</f>
        <v>1</v>
      </c>
      <c r="G122" s="89" t="n">
        <f aca="false">UtilFH</f>
        <v>0.85</v>
      </c>
      <c r="H122" s="89" t="n">
        <f aca="false">UtilBH</f>
        <v>0.5</v>
      </c>
      <c r="I122" s="90" t="n">
        <f aca="false">Speed</f>
        <v>13.5</v>
      </c>
      <c r="J122" s="88" t="n">
        <f aca="false">PortCostMult</f>
        <v>1</v>
      </c>
      <c r="K122" s="90" t="n">
        <f aca="false">EUA</f>
        <v>75</v>
      </c>
      <c r="L122" s="71" t="n">
        <f aca="false">INDEX(Routes!$E$6:$E$9,$C122)</f>
        <v>6350</v>
      </c>
      <c r="M122" s="72" t="n">
        <f aca="false">INDEX(Routes!$F$6:$F$9,$C122)/L122</f>
        <v>0.0708661417322835</v>
      </c>
      <c r="N122" s="77" t="n">
        <f aca="false">2*L122*(1+SeaMargin)/(I122*24)</f>
        <v>41.1574074074074</v>
      </c>
      <c r="O122" s="84" t="n">
        <f aca="false">(I122/RefSpeed)^SpeedExp</f>
        <v>1</v>
      </c>
      <c r="P122" s="2" t="n">
        <f aca="false">IF(H122&gt;0,1,0)</f>
        <v>1</v>
      </c>
      <c r="Q122" s="71" t="n">
        <f aca="false">N122/2*O122*(ConsLaden+IF(P122=1,ConsLaden,ConsBallast))</f>
        <v>1111.25</v>
      </c>
      <c r="R122" s="71" t="n">
        <f aca="false">Q122*(1-M122)</f>
        <v>1032.5</v>
      </c>
      <c r="S122" s="71" t="n">
        <f aca="false">Q122*M122</f>
        <v>78.75</v>
      </c>
      <c r="T122" s="2" t="n">
        <f aca="false">1+P122</f>
        <v>2</v>
      </c>
      <c r="U122" s="77" t="n">
        <f aca="false">INDEX(Routes!$L$6:$L$9,$C122)*T122*F122</f>
        <v>7</v>
      </c>
      <c r="V122" s="77" t="n">
        <f aca="false">INDEX(Routes!$M$6:$M$9,$C122)*T122*F122</f>
        <v>8</v>
      </c>
      <c r="W122" s="77" t="n">
        <f aca="false">INDEX(Routes!$H$6:$H$9,$C122)*2</f>
        <v>2</v>
      </c>
      <c r="X122" s="71" t="n">
        <f aca="false">(U122+V122+W122)*ConsPort</f>
        <v>102</v>
      </c>
      <c r="Y122" s="67" t="n">
        <f aca="false">R122*D122*VLSFO_Mult+(S122+X122)*D122*MGO_Mult</f>
        <v>1261458.25</v>
      </c>
      <c r="Z122" s="67" t="n">
        <f aca="false">(INDEX(Routes!$N$6:$N$9,$C122)+AN122+MIN(AC122*INDEX(Routes!$T$6:$T$9,$C122),INDEX(Routes!$V$6:$V$9,$C122))+INDEX(Routes!$O$6:$O$9,$C122)+AO122+MIN(AC122*INDEX(Routes!$U$6:$U$9,$C122),INDEX(Routes!$W$6:$W$9,$C122))+IF(P122=1,INDEX(Routes!$N$6:$N$9,$C122)+AN122+MIN(AD122*INDEX(Routes!$T$6:$T$9,$C122),INDEX(Routes!$V$6:$V$9,$C122))+INDEX(Routes!$O$6:$O$9,$C122)+AO122+MIN(AD122*INDEX(Routes!$U$6:$U$9,$C122),INDEX(Routes!$W$6:$W$9,$C122)),0))*J122</f>
        <v>231562.2096</v>
      </c>
      <c r="AA122" s="67" t="n">
        <f aca="false">INDEX(Routes!$R$6:$R$9,$C122)+IF(P122=1,INDEX(Routes!$R$6:$R$9,$C122),INDEX(Routes!$S$6:$S$9,$C122))</f>
        <v>752016</v>
      </c>
      <c r="AB122" s="67" t="n">
        <f aca="false">((R122*CO2_VLSFO+S122*CO2_MGO)*INDEX(Routes!$I$6:$I$9,$C122)+(U122*INDEX(Routes!$P$6:$P$9,$C122)+V122*INDEX(Routes!$Q$6:$Q$9,$C122))*ConsPort*CO2_MGO)*PhaseIn*K122*FX</f>
        <v>154150.486875</v>
      </c>
      <c r="AC122" s="71" t="n">
        <f aca="false">Capacity*G122</f>
        <v>30600</v>
      </c>
      <c r="AD122" s="71" t="n">
        <f aca="false">Capacity*H122</f>
        <v>18000</v>
      </c>
      <c r="AE122" s="82" t="n">
        <f aca="false">INDEX(Routes!$J$6:$J$9,$C122)*E122</f>
        <v>75</v>
      </c>
      <c r="AF122" s="82" t="n">
        <f aca="false">INDEX(Routes!$K$6:$K$9,$C122)*E122</f>
        <v>55</v>
      </c>
      <c r="AG122" s="67" t="n">
        <f aca="false">AC122*AE122+AD122*AF122</f>
        <v>3285000</v>
      </c>
      <c r="AH122" s="67" t="n">
        <f aca="false">AG122*Commission</f>
        <v>82125</v>
      </c>
      <c r="AI122" s="67" t="n">
        <f aca="false">Y122+Z122+AA122+AB122+MiscVoy</f>
        <v>2424186.946475</v>
      </c>
      <c r="AJ122" s="77" t="n">
        <f aca="false">N122+U122+V122+W122</f>
        <v>58.1574074074074</v>
      </c>
      <c r="AK122" s="94" t="n">
        <f aca="false">(AG122-AH122-AI122)/AJ122</f>
        <v>13389.3185449292</v>
      </c>
      <c r="AL122" s="67" t="n">
        <f aca="false">AG122-AH122-AI122-Benchmark*AJ122</f>
        <v>-268145.279808333</v>
      </c>
      <c r="AM122" s="82" t="n">
        <f aca="false">IF(AC122&gt;0,((Benchmark*AJ122+AI122)/(1-Commission)-AD122*AF122)/AC122,0)</f>
        <v>83.987607836713</v>
      </c>
      <c r="AN122" s="67" t="n">
        <f aca="false">LOA_ft*Port_Tariffs!$C$9*IF((INDEX(Routes!$L$6:$L$9,$C122)*INDEX(Routes!$X$6:$X$9,$C122)*F122)&lt;=2,(INDEX(Routes!$L$6:$L$9,$C122)*INDEX(Routes!$X$6:$X$9,$C122)*F122),IF((INDEX(Routes!$L$6:$L$9,$C122)*INDEX(Routes!$X$6:$X$9,$C122)*F122)&lt;=3,2+0.9*((INDEX(Routes!$L$6:$L$9,$C122)*INDEX(Routes!$X$6:$X$9,$C122)*F122)-2),IF((INDEX(Routes!$L$6:$L$9,$C122)*INDEX(Routes!$X$6:$X$9,$C122)*F122)&lt;=4,2.9+0.75*((INDEX(Routes!$L$6:$L$9,$C122)*INDEX(Routes!$X$6:$X$9,$C122)*F122)-3),IF((INDEX(Routes!$L$6:$L$9,$C122)*INDEX(Routes!$X$6:$X$9,$C122)*F122)&lt;=5,3.65+0.6*((INDEX(Routes!$L$6:$L$9,$C122)*INDEX(Routes!$X$6:$X$9,$C122)*F122)-4),4.25+0.5*((INDEX(Routes!$L$6:$L$9,$C122)*INDEX(Routes!$X$6:$X$9,$C122)*F122)-5)))))</f>
        <v>0</v>
      </c>
      <c r="AO122" s="67" t="n">
        <f aca="false">LOA_ft*Port_Tariffs!$C$9*IF((INDEX(Routes!$M$6:$M$9,$C122)*INDEX(Routes!$Y$6:$Y$9,$C122)*F122)&lt;=2,(INDEX(Routes!$M$6:$M$9,$C122)*INDEX(Routes!$Y$6:$Y$9,$C122)*F122),IF((INDEX(Routes!$M$6:$M$9,$C122)*INDEX(Routes!$Y$6:$Y$9,$C122)*F122)&lt;=3,2+0.9*((INDEX(Routes!$M$6:$M$9,$C122)*INDEX(Routes!$Y$6:$Y$9,$C122)*F122)-2),IF((INDEX(Routes!$M$6:$M$9,$C122)*INDEX(Routes!$Y$6:$Y$9,$C122)*F122)&lt;=4,2.9+0.75*((INDEX(Routes!$M$6:$M$9,$C122)*INDEX(Routes!$Y$6:$Y$9,$C122)*F122)-3),IF((INDEX(Routes!$M$6:$M$9,$C122)*INDEX(Routes!$Y$6:$Y$9,$C122)*F122)&lt;=5,3.65+0.6*((INDEX(Routes!$M$6:$M$9,$C122)*INDEX(Routes!$Y$6:$Y$9,$C122)*F122)-4),4.25+0.5*((INDEX(Routes!$M$6:$M$9,$C122)*INDEX(Routes!$Y$6:$Y$9,$C122)*F122)-5)))))</f>
        <v>0</v>
      </c>
    </row>
    <row r="123" customFormat="false" ht="15" hidden="false" customHeight="false" outlineLevel="0" collapsed="false">
      <c r="A123" s="2" t="s">
        <v>619</v>
      </c>
      <c r="B123" s="2" t="s">
        <v>592</v>
      </c>
      <c r="C123" s="13" t="n">
        <v>4</v>
      </c>
      <c r="D123" s="70" t="n">
        <v>50</v>
      </c>
      <c r="E123" s="88" t="n">
        <f aca="false">FreightMult</f>
        <v>1</v>
      </c>
      <c r="F123" s="88" t="n">
        <f aca="false">PortMult</f>
        <v>1</v>
      </c>
      <c r="G123" s="89" t="n">
        <f aca="false">UtilFH</f>
        <v>0.85</v>
      </c>
      <c r="H123" s="89" t="n">
        <f aca="false">UtilBH</f>
        <v>0.5</v>
      </c>
      <c r="I123" s="90" t="n">
        <f aca="false">Speed</f>
        <v>13.5</v>
      </c>
      <c r="J123" s="88" t="n">
        <f aca="false">PortCostMult</f>
        <v>1</v>
      </c>
      <c r="K123" s="90" t="n">
        <f aca="false">EUA</f>
        <v>75</v>
      </c>
      <c r="L123" s="71" t="n">
        <f aca="false">INDEX(Routes!$E$6:$E$9,$C123)</f>
        <v>10850</v>
      </c>
      <c r="M123" s="72" t="n">
        <f aca="false">INDEX(Routes!$F$6:$F$9,$C123)/L123</f>
        <v>0.0414746543778802</v>
      </c>
      <c r="N123" s="77" t="n">
        <f aca="false">2*L123*(1+SeaMargin)/(I123*24)</f>
        <v>70.3240740740741</v>
      </c>
      <c r="O123" s="84" t="n">
        <f aca="false">(I123/RefSpeed)^SpeedExp</f>
        <v>1</v>
      </c>
      <c r="P123" s="2" t="n">
        <f aca="false">IF(H123&gt;0,1,0)</f>
        <v>1</v>
      </c>
      <c r="Q123" s="71" t="n">
        <f aca="false">N123/2*O123*(ConsLaden+IF(P123=1,ConsLaden,ConsBallast))</f>
        <v>1898.75</v>
      </c>
      <c r="R123" s="71" t="n">
        <f aca="false">Q123*(1-M123)</f>
        <v>1820</v>
      </c>
      <c r="S123" s="71" t="n">
        <f aca="false">Q123*M123</f>
        <v>78.75</v>
      </c>
      <c r="T123" s="2" t="n">
        <f aca="false">1+P123</f>
        <v>2</v>
      </c>
      <c r="U123" s="77" t="n">
        <f aca="false">INDEX(Routes!$L$6:$L$9,$C123)*T123*F123</f>
        <v>7</v>
      </c>
      <c r="V123" s="77" t="n">
        <f aca="false">INDEX(Routes!$M$6:$M$9,$C123)*T123*F123</f>
        <v>8</v>
      </c>
      <c r="W123" s="77" t="n">
        <f aca="false">INDEX(Routes!$H$6:$H$9,$C123)*2</f>
        <v>0</v>
      </c>
      <c r="X123" s="71" t="n">
        <f aca="false">(U123+V123+W123)*ConsPort</f>
        <v>90</v>
      </c>
      <c r="Y123" s="67" t="n">
        <f aca="false">R123*D123*VLSFO_Mult+(S123+X123)*D123*MGO_Mult</f>
        <v>782543.75</v>
      </c>
      <c r="Z123" s="67" t="n">
        <f aca="false">(INDEX(Routes!$N$6:$N$9,$C123)+AN123+MIN(AC123*INDEX(Routes!$T$6:$T$9,$C123),INDEX(Routes!$V$6:$V$9,$C123))+INDEX(Routes!$O$6:$O$9,$C123)+AO123+MIN(AC123*INDEX(Routes!$U$6:$U$9,$C123),INDEX(Routes!$W$6:$W$9,$C123))+IF(P123=1,INDEX(Routes!$N$6:$N$9,$C123)+AN123+MIN(AD123*INDEX(Routes!$T$6:$T$9,$C123),INDEX(Routes!$V$6:$V$9,$C123))+INDEX(Routes!$O$6:$O$9,$C123)+AO123+MIN(AD123*INDEX(Routes!$U$6:$U$9,$C123),INDEX(Routes!$W$6:$W$9,$C123)),0))*J123</f>
        <v>231562.2096</v>
      </c>
      <c r="AA123" s="67" t="n">
        <f aca="false">INDEX(Routes!$R$6:$R$9,$C123)+IF(P123=1,INDEX(Routes!$R$6:$R$9,$C123),INDEX(Routes!$S$6:$S$9,$C123))</f>
        <v>0</v>
      </c>
      <c r="AB123" s="67" t="n">
        <f aca="false">((R123*CO2_VLSFO+S123*CO2_MGO)*INDEX(Routes!$I$6:$I$9,$C123)+(U123*INDEX(Routes!$P$6:$P$9,$C123)+V123*INDEX(Routes!$Q$6:$Q$9,$C123))*ConsPort*CO2_MGO)*PhaseIn*K123*FX</f>
        <v>255306.830625</v>
      </c>
      <c r="AC123" s="71" t="n">
        <f aca="false">Capacity*G123</f>
        <v>30600</v>
      </c>
      <c r="AD123" s="71" t="n">
        <f aca="false">Capacity*H123</f>
        <v>18000</v>
      </c>
      <c r="AE123" s="82" t="n">
        <f aca="false">INDEX(Routes!$J$6:$J$9,$C123)*E123</f>
        <v>75</v>
      </c>
      <c r="AF123" s="82" t="n">
        <f aca="false">INDEX(Routes!$K$6:$K$9,$C123)*E123</f>
        <v>55</v>
      </c>
      <c r="AG123" s="67" t="n">
        <f aca="false">AC123*AE123+AD123*AF123</f>
        <v>3285000</v>
      </c>
      <c r="AH123" s="67" t="n">
        <f aca="false">AG123*Commission</f>
        <v>82125</v>
      </c>
      <c r="AI123" s="67" t="n">
        <f aca="false">Y123+Z123+AA123+AB123+MiscVoy</f>
        <v>1294412.790225</v>
      </c>
      <c r="AJ123" s="77" t="n">
        <f aca="false">N123+U123+V123+W123</f>
        <v>85.3240740740741</v>
      </c>
      <c r="AK123" s="94" t="n">
        <f aca="false">(AG123-AH123-AI123)/AJ123</f>
        <v>22367.218519338</v>
      </c>
      <c r="AL123" s="67" t="n">
        <f aca="false">AG123-AH123-AI123-Benchmark*AJ123</f>
        <v>372628.876441667</v>
      </c>
      <c r="AM123" s="82" t="n">
        <f aca="false">IF(AC123&gt;0,((Benchmark*AJ123+AI123)/(1-Commission)-AD123*AF123)/AC123,0)</f>
        <v>62.5103443458466</v>
      </c>
      <c r="AN123" s="67" t="n">
        <f aca="false">LOA_ft*Port_Tariffs!$C$9*IF((INDEX(Routes!$L$6:$L$9,$C123)*INDEX(Routes!$X$6:$X$9,$C123)*F123)&lt;=2,(INDEX(Routes!$L$6:$L$9,$C123)*INDEX(Routes!$X$6:$X$9,$C123)*F123),IF((INDEX(Routes!$L$6:$L$9,$C123)*INDEX(Routes!$X$6:$X$9,$C123)*F123)&lt;=3,2+0.9*((INDEX(Routes!$L$6:$L$9,$C123)*INDEX(Routes!$X$6:$X$9,$C123)*F123)-2),IF((INDEX(Routes!$L$6:$L$9,$C123)*INDEX(Routes!$X$6:$X$9,$C123)*F123)&lt;=4,2.9+0.75*((INDEX(Routes!$L$6:$L$9,$C123)*INDEX(Routes!$X$6:$X$9,$C123)*F123)-3),IF((INDEX(Routes!$L$6:$L$9,$C123)*INDEX(Routes!$X$6:$X$9,$C123)*F123)&lt;=5,3.65+0.6*((INDEX(Routes!$L$6:$L$9,$C123)*INDEX(Routes!$X$6:$X$9,$C123)*F123)-4),4.25+0.5*((INDEX(Routes!$L$6:$L$9,$C123)*INDEX(Routes!$X$6:$X$9,$C123)*F123)-5)))))</f>
        <v>0</v>
      </c>
      <c r="AO123" s="67" t="n">
        <f aca="false">LOA_ft*Port_Tariffs!$C$9*IF((INDEX(Routes!$M$6:$M$9,$C123)*INDEX(Routes!$Y$6:$Y$9,$C123)*F123)&lt;=2,(INDEX(Routes!$M$6:$M$9,$C123)*INDEX(Routes!$Y$6:$Y$9,$C123)*F123),IF((INDEX(Routes!$M$6:$M$9,$C123)*INDEX(Routes!$Y$6:$Y$9,$C123)*F123)&lt;=3,2+0.9*((INDEX(Routes!$M$6:$M$9,$C123)*INDEX(Routes!$Y$6:$Y$9,$C123)*F123)-2),IF((INDEX(Routes!$M$6:$M$9,$C123)*INDEX(Routes!$Y$6:$Y$9,$C123)*F123)&lt;=4,2.9+0.75*((INDEX(Routes!$M$6:$M$9,$C123)*INDEX(Routes!$Y$6:$Y$9,$C123)*F123)-3),IF((INDEX(Routes!$M$6:$M$9,$C123)*INDEX(Routes!$Y$6:$Y$9,$C123)*F123)&lt;=5,3.65+0.6*((INDEX(Routes!$M$6:$M$9,$C123)*INDEX(Routes!$Y$6:$Y$9,$C123)*F123)-4),4.25+0.5*((INDEX(Routes!$M$6:$M$9,$C123)*INDEX(Routes!$Y$6:$Y$9,$C123)*F123)-5)))))</f>
        <v>0</v>
      </c>
    </row>
    <row r="124" customFormat="false" ht="15" hidden="false" customHeight="false" outlineLevel="0" collapsed="false">
      <c r="A124" s="2" t="s">
        <v>620</v>
      </c>
      <c r="B124" s="2" t="s">
        <v>592</v>
      </c>
      <c r="C124" s="13" t="n">
        <v>4</v>
      </c>
      <c r="D124" s="70" t="n">
        <v>60</v>
      </c>
      <c r="E124" s="88" t="n">
        <f aca="false">FreightMult</f>
        <v>1</v>
      </c>
      <c r="F124" s="88" t="n">
        <f aca="false">PortMult</f>
        <v>1</v>
      </c>
      <c r="G124" s="89" t="n">
        <f aca="false">UtilFH</f>
        <v>0.85</v>
      </c>
      <c r="H124" s="89" t="n">
        <f aca="false">UtilBH</f>
        <v>0.5</v>
      </c>
      <c r="I124" s="90" t="n">
        <f aca="false">Speed</f>
        <v>13.5</v>
      </c>
      <c r="J124" s="88" t="n">
        <f aca="false">PortCostMult</f>
        <v>1</v>
      </c>
      <c r="K124" s="90" t="n">
        <f aca="false">EUA</f>
        <v>75</v>
      </c>
      <c r="L124" s="71" t="n">
        <f aca="false">INDEX(Routes!$E$6:$E$9,$C124)</f>
        <v>10850</v>
      </c>
      <c r="M124" s="72" t="n">
        <f aca="false">INDEX(Routes!$F$6:$F$9,$C124)/L124</f>
        <v>0.0414746543778802</v>
      </c>
      <c r="N124" s="77" t="n">
        <f aca="false">2*L124*(1+SeaMargin)/(I124*24)</f>
        <v>70.3240740740741</v>
      </c>
      <c r="O124" s="84" t="n">
        <f aca="false">(I124/RefSpeed)^SpeedExp</f>
        <v>1</v>
      </c>
      <c r="P124" s="2" t="n">
        <f aca="false">IF(H124&gt;0,1,0)</f>
        <v>1</v>
      </c>
      <c r="Q124" s="71" t="n">
        <f aca="false">N124/2*O124*(ConsLaden+IF(P124=1,ConsLaden,ConsBallast))</f>
        <v>1898.75</v>
      </c>
      <c r="R124" s="71" t="n">
        <f aca="false">Q124*(1-M124)</f>
        <v>1820</v>
      </c>
      <c r="S124" s="71" t="n">
        <f aca="false">Q124*M124</f>
        <v>78.75</v>
      </c>
      <c r="T124" s="2" t="n">
        <f aca="false">1+P124</f>
        <v>2</v>
      </c>
      <c r="U124" s="77" t="n">
        <f aca="false">INDEX(Routes!$L$6:$L$9,$C124)*T124*F124</f>
        <v>7</v>
      </c>
      <c r="V124" s="77" t="n">
        <f aca="false">INDEX(Routes!$M$6:$M$9,$C124)*T124*F124</f>
        <v>8</v>
      </c>
      <c r="W124" s="77" t="n">
        <f aca="false">INDEX(Routes!$H$6:$H$9,$C124)*2</f>
        <v>0</v>
      </c>
      <c r="X124" s="71" t="n">
        <f aca="false">(U124+V124+W124)*ConsPort</f>
        <v>90</v>
      </c>
      <c r="Y124" s="67" t="n">
        <f aca="false">R124*D124*VLSFO_Mult+(S124+X124)*D124*MGO_Mult</f>
        <v>939052.5</v>
      </c>
      <c r="Z124" s="67" t="n">
        <f aca="false">(INDEX(Routes!$N$6:$N$9,$C124)+AN124+MIN(AC124*INDEX(Routes!$T$6:$T$9,$C124),INDEX(Routes!$V$6:$V$9,$C124))+INDEX(Routes!$O$6:$O$9,$C124)+AO124+MIN(AC124*INDEX(Routes!$U$6:$U$9,$C124),INDEX(Routes!$W$6:$W$9,$C124))+IF(P124=1,INDEX(Routes!$N$6:$N$9,$C124)+AN124+MIN(AD124*INDEX(Routes!$T$6:$T$9,$C124),INDEX(Routes!$V$6:$V$9,$C124))+INDEX(Routes!$O$6:$O$9,$C124)+AO124+MIN(AD124*INDEX(Routes!$U$6:$U$9,$C124),INDEX(Routes!$W$6:$W$9,$C124)),0))*J124</f>
        <v>231562.2096</v>
      </c>
      <c r="AA124" s="67" t="n">
        <f aca="false">INDEX(Routes!$R$6:$R$9,$C124)+IF(P124=1,INDEX(Routes!$R$6:$R$9,$C124),INDEX(Routes!$S$6:$S$9,$C124))</f>
        <v>0</v>
      </c>
      <c r="AB124" s="67" t="n">
        <f aca="false">((R124*CO2_VLSFO+S124*CO2_MGO)*INDEX(Routes!$I$6:$I$9,$C124)+(U124*INDEX(Routes!$P$6:$P$9,$C124)+V124*INDEX(Routes!$Q$6:$Q$9,$C124))*ConsPort*CO2_MGO)*PhaseIn*K124*FX</f>
        <v>255306.830625</v>
      </c>
      <c r="AC124" s="71" t="n">
        <f aca="false">Capacity*G124</f>
        <v>30600</v>
      </c>
      <c r="AD124" s="71" t="n">
        <f aca="false">Capacity*H124</f>
        <v>18000</v>
      </c>
      <c r="AE124" s="82" t="n">
        <f aca="false">INDEX(Routes!$J$6:$J$9,$C124)*E124</f>
        <v>75</v>
      </c>
      <c r="AF124" s="82" t="n">
        <f aca="false">INDEX(Routes!$K$6:$K$9,$C124)*E124</f>
        <v>55</v>
      </c>
      <c r="AG124" s="67" t="n">
        <f aca="false">AC124*AE124+AD124*AF124</f>
        <v>3285000</v>
      </c>
      <c r="AH124" s="67" t="n">
        <f aca="false">AG124*Commission</f>
        <v>82125</v>
      </c>
      <c r="AI124" s="67" t="n">
        <f aca="false">Y124+Z124+AA124+AB124+MiscVoy</f>
        <v>1450921.540225</v>
      </c>
      <c r="AJ124" s="77" t="n">
        <f aca="false">N124+U124+V124+W124</f>
        <v>85.3240740740741</v>
      </c>
      <c r="AK124" s="94" t="n">
        <f aca="false">(AG124-AH124-AI124)/AJ124</f>
        <v>20532.9325725122</v>
      </c>
      <c r="AL124" s="67" t="n">
        <f aca="false">AG124-AH124-AI124-Benchmark*AJ124</f>
        <v>216120.126441667</v>
      </c>
      <c r="AM124" s="82" t="n">
        <f aca="false">IF(AC124&gt;0,((Benchmark*AJ124+AI124)/(1-Commission)-AD124*AF124)/AC124,0)</f>
        <v>67.7561546357745</v>
      </c>
      <c r="AN124" s="67" t="n">
        <f aca="false">LOA_ft*Port_Tariffs!$C$9*IF((INDEX(Routes!$L$6:$L$9,$C124)*INDEX(Routes!$X$6:$X$9,$C124)*F124)&lt;=2,(INDEX(Routes!$L$6:$L$9,$C124)*INDEX(Routes!$X$6:$X$9,$C124)*F124),IF((INDEX(Routes!$L$6:$L$9,$C124)*INDEX(Routes!$X$6:$X$9,$C124)*F124)&lt;=3,2+0.9*((INDEX(Routes!$L$6:$L$9,$C124)*INDEX(Routes!$X$6:$X$9,$C124)*F124)-2),IF((INDEX(Routes!$L$6:$L$9,$C124)*INDEX(Routes!$X$6:$X$9,$C124)*F124)&lt;=4,2.9+0.75*((INDEX(Routes!$L$6:$L$9,$C124)*INDEX(Routes!$X$6:$X$9,$C124)*F124)-3),IF((INDEX(Routes!$L$6:$L$9,$C124)*INDEX(Routes!$X$6:$X$9,$C124)*F124)&lt;=5,3.65+0.6*((INDEX(Routes!$L$6:$L$9,$C124)*INDEX(Routes!$X$6:$X$9,$C124)*F124)-4),4.25+0.5*((INDEX(Routes!$L$6:$L$9,$C124)*INDEX(Routes!$X$6:$X$9,$C124)*F124)-5)))))</f>
        <v>0</v>
      </c>
      <c r="AO124" s="67" t="n">
        <f aca="false">LOA_ft*Port_Tariffs!$C$9*IF((INDEX(Routes!$M$6:$M$9,$C124)*INDEX(Routes!$Y$6:$Y$9,$C124)*F124)&lt;=2,(INDEX(Routes!$M$6:$M$9,$C124)*INDEX(Routes!$Y$6:$Y$9,$C124)*F124),IF((INDEX(Routes!$M$6:$M$9,$C124)*INDEX(Routes!$Y$6:$Y$9,$C124)*F124)&lt;=3,2+0.9*((INDEX(Routes!$M$6:$M$9,$C124)*INDEX(Routes!$Y$6:$Y$9,$C124)*F124)-2),IF((INDEX(Routes!$M$6:$M$9,$C124)*INDEX(Routes!$Y$6:$Y$9,$C124)*F124)&lt;=4,2.9+0.75*((INDEX(Routes!$M$6:$M$9,$C124)*INDEX(Routes!$Y$6:$Y$9,$C124)*F124)-3),IF((INDEX(Routes!$M$6:$M$9,$C124)*INDEX(Routes!$Y$6:$Y$9,$C124)*F124)&lt;=5,3.65+0.6*((INDEX(Routes!$M$6:$M$9,$C124)*INDEX(Routes!$Y$6:$Y$9,$C124)*F124)-4),4.25+0.5*((INDEX(Routes!$M$6:$M$9,$C124)*INDEX(Routes!$Y$6:$Y$9,$C124)*F124)-5)))))</f>
        <v>0</v>
      </c>
    </row>
    <row r="125" customFormat="false" ht="15" hidden="false" customHeight="false" outlineLevel="0" collapsed="false">
      <c r="A125" s="2" t="s">
        <v>621</v>
      </c>
      <c r="B125" s="2" t="s">
        <v>592</v>
      </c>
      <c r="C125" s="13" t="n">
        <v>4</v>
      </c>
      <c r="D125" s="70" t="n">
        <v>70</v>
      </c>
      <c r="E125" s="88" t="n">
        <f aca="false">FreightMult</f>
        <v>1</v>
      </c>
      <c r="F125" s="88" t="n">
        <f aca="false">PortMult</f>
        <v>1</v>
      </c>
      <c r="G125" s="89" t="n">
        <f aca="false">UtilFH</f>
        <v>0.85</v>
      </c>
      <c r="H125" s="89" t="n">
        <f aca="false">UtilBH</f>
        <v>0.5</v>
      </c>
      <c r="I125" s="90" t="n">
        <f aca="false">Speed</f>
        <v>13.5</v>
      </c>
      <c r="J125" s="88" t="n">
        <f aca="false">PortCostMult</f>
        <v>1</v>
      </c>
      <c r="K125" s="90" t="n">
        <f aca="false">EUA</f>
        <v>75</v>
      </c>
      <c r="L125" s="71" t="n">
        <f aca="false">INDEX(Routes!$E$6:$E$9,$C125)</f>
        <v>10850</v>
      </c>
      <c r="M125" s="72" t="n">
        <f aca="false">INDEX(Routes!$F$6:$F$9,$C125)/L125</f>
        <v>0.0414746543778802</v>
      </c>
      <c r="N125" s="77" t="n">
        <f aca="false">2*L125*(1+SeaMargin)/(I125*24)</f>
        <v>70.3240740740741</v>
      </c>
      <c r="O125" s="84" t="n">
        <f aca="false">(I125/RefSpeed)^SpeedExp</f>
        <v>1</v>
      </c>
      <c r="P125" s="2" t="n">
        <f aca="false">IF(H125&gt;0,1,0)</f>
        <v>1</v>
      </c>
      <c r="Q125" s="71" t="n">
        <f aca="false">N125/2*O125*(ConsLaden+IF(P125=1,ConsLaden,ConsBallast))</f>
        <v>1898.75</v>
      </c>
      <c r="R125" s="71" t="n">
        <f aca="false">Q125*(1-M125)</f>
        <v>1820</v>
      </c>
      <c r="S125" s="71" t="n">
        <f aca="false">Q125*M125</f>
        <v>78.75</v>
      </c>
      <c r="T125" s="2" t="n">
        <f aca="false">1+P125</f>
        <v>2</v>
      </c>
      <c r="U125" s="77" t="n">
        <f aca="false">INDEX(Routes!$L$6:$L$9,$C125)*T125*F125</f>
        <v>7</v>
      </c>
      <c r="V125" s="77" t="n">
        <f aca="false">INDEX(Routes!$M$6:$M$9,$C125)*T125*F125</f>
        <v>8</v>
      </c>
      <c r="W125" s="77" t="n">
        <f aca="false">INDEX(Routes!$H$6:$H$9,$C125)*2</f>
        <v>0</v>
      </c>
      <c r="X125" s="71" t="n">
        <f aca="false">(U125+V125+W125)*ConsPort</f>
        <v>90</v>
      </c>
      <c r="Y125" s="67" t="n">
        <f aca="false">R125*D125*VLSFO_Mult+(S125+X125)*D125*MGO_Mult</f>
        <v>1095561.25</v>
      </c>
      <c r="Z125" s="67" t="n">
        <f aca="false">(INDEX(Routes!$N$6:$N$9,$C125)+AN125+MIN(AC125*INDEX(Routes!$T$6:$T$9,$C125),INDEX(Routes!$V$6:$V$9,$C125))+INDEX(Routes!$O$6:$O$9,$C125)+AO125+MIN(AC125*INDEX(Routes!$U$6:$U$9,$C125),INDEX(Routes!$W$6:$W$9,$C125))+IF(P125=1,INDEX(Routes!$N$6:$N$9,$C125)+AN125+MIN(AD125*INDEX(Routes!$T$6:$T$9,$C125),INDEX(Routes!$V$6:$V$9,$C125))+INDEX(Routes!$O$6:$O$9,$C125)+AO125+MIN(AD125*INDEX(Routes!$U$6:$U$9,$C125),INDEX(Routes!$W$6:$W$9,$C125)),0))*J125</f>
        <v>231562.2096</v>
      </c>
      <c r="AA125" s="67" t="n">
        <f aca="false">INDEX(Routes!$R$6:$R$9,$C125)+IF(P125=1,INDEX(Routes!$R$6:$R$9,$C125),INDEX(Routes!$S$6:$S$9,$C125))</f>
        <v>0</v>
      </c>
      <c r="AB125" s="67" t="n">
        <f aca="false">((R125*CO2_VLSFO+S125*CO2_MGO)*INDEX(Routes!$I$6:$I$9,$C125)+(U125*INDEX(Routes!$P$6:$P$9,$C125)+V125*INDEX(Routes!$Q$6:$Q$9,$C125))*ConsPort*CO2_MGO)*PhaseIn*K125*FX</f>
        <v>255306.830625</v>
      </c>
      <c r="AC125" s="71" t="n">
        <f aca="false">Capacity*G125</f>
        <v>30600</v>
      </c>
      <c r="AD125" s="71" t="n">
        <f aca="false">Capacity*H125</f>
        <v>18000</v>
      </c>
      <c r="AE125" s="82" t="n">
        <f aca="false">INDEX(Routes!$J$6:$J$9,$C125)*E125</f>
        <v>75</v>
      </c>
      <c r="AF125" s="82" t="n">
        <f aca="false">INDEX(Routes!$K$6:$K$9,$C125)*E125</f>
        <v>55</v>
      </c>
      <c r="AG125" s="67" t="n">
        <f aca="false">AC125*AE125+AD125*AF125</f>
        <v>3285000</v>
      </c>
      <c r="AH125" s="67" t="n">
        <f aca="false">AG125*Commission</f>
        <v>82125</v>
      </c>
      <c r="AI125" s="67" t="n">
        <f aca="false">Y125+Z125+AA125+AB125+MiscVoy</f>
        <v>1607430.290225</v>
      </c>
      <c r="AJ125" s="77" t="n">
        <f aca="false">N125+U125+V125+W125</f>
        <v>85.3240740740741</v>
      </c>
      <c r="AK125" s="94" t="n">
        <f aca="false">(AG125-AH125-AI125)/AJ125</f>
        <v>18698.6466256864</v>
      </c>
      <c r="AL125" s="67" t="n">
        <f aca="false">AG125-AH125-AI125-Benchmark*AJ125</f>
        <v>59611.3764416669</v>
      </c>
      <c r="AM125" s="82" t="n">
        <f aca="false">IF(AC125&gt;0,((Benchmark*AJ125+AI125)/(1-Commission)-AD125*AF125)/AC125,0)</f>
        <v>73.0019649257025</v>
      </c>
      <c r="AN125" s="67" t="n">
        <f aca="false">LOA_ft*Port_Tariffs!$C$9*IF((INDEX(Routes!$L$6:$L$9,$C125)*INDEX(Routes!$X$6:$X$9,$C125)*F125)&lt;=2,(INDEX(Routes!$L$6:$L$9,$C125)*INDEX(Routes!$X$6:$X$9,$C125)*F125),IF((INDEX(Routes!$L$6:$L$9,$C125)*INDEX(Routes!$X$6:$X$9,$C125)*F125)&lt;=3,2+0.9*((INDEX(Routes!$L$6:$L$9,$C125)*INDEX(Routes!$X$6:$X$9,$C125)*F125)-2),IF((INDEX(Routes!$L$6:$L$9,$C125)*INDEX(Routes!$X$6:$X$9,$C125)*F125)&lt;=4,2.9+0.75*((INDEX(Routes!$L$6:$L$9,$C125)*INDEX(Routes!$X$6:$X$9,$C125)*F125)-3),IF((INDEX(Routes!$L$6:$L$9,$C125)*INDEX(Routes!$X$6:$X$9,$C125)*F125)&lt;=5,3.65+0.6*((INDEX(Routes!$L$6:$L$9,$C125)*INDEX(Routes!$X$6:$X$9,$C125)*F125)-4),4.25+0.5*((INDEX(Routes!$L$6:$L$9,$C125)*INDEX(Routes!$X$6:$X$9,$C125)*F125)-5)))))</f>
        <v>0</v>
      </c>
      <c r="AO125" s="67" t="n">
        <f aca="false">LOA_ft*Port_Tariffs!$C$9*IF((INDEX(Routes!$M$6:$M$9,$C125)*INDEX(Routes!$Y$6:$Y$9,$C125)*F125)&lt;=2,(INDEX(Routes!$M$6:$M$9,$C125)*INDEX(Routes!$Y$6:$Y$9,$C125)*F125),IF((INDEX(Routes!$M$6:$M$9,$C125)*INDEX(Routes!$Y$6:$Y$9,$C125)*F125)&lt;=3,2+0.9*((INDEX(Routes!$M$6:$M$9,$C125)*INDEX(Routes!$Y$6:$Y$9,$C125)*F125)-2),IF((INDEX(Routes!$M$6:$M$9,$C125)*INDEX(Routes!$Y$6:$Y$9,$C125)*F125)&lt;=4,2.9+0.75*((INDEX(Routes!$M$6:$M$9,$C125)*INDEX(Routes!$Y$6:$Y$9,$C125)*F125)-3),IF((INDEX(Routes!$M$6:$M$9,$C125)*INDEX(Routes!$Y$6:$Y$9,$C125)*F125)&lt;=5,3.65+0.6*((INDEX(Routes!$M$6:$M$9,$C125)*INDEX(Routes!$Y$6:$Y$9,$C125)*F125)-4),4.25+0.5*((INDEX(Routes!$M$6:$M$9,$C125)*INDEX(Routes!$Y$6:$Y$9,$C125)*F125)-5)))))</f>
        <v>0</v>
      </c>
    </row>
    <row r="126" customFormat="false" ht="15" hidden="false" customHeight="false" outlineLevel="0" collapsed="false">
      <c r="A126" s="2" t="s">
        <v>622</v>
      </c>
      <c r="B126" s="2" t="s">
        <v>592</v>
      </c>
      <c r="C126" s="13" t="n">
        <v>4</v>
      </c>
      <c r="D126" s="70" t="n">
        <v>80</v>
      </c>
      <c r="E126" s="88" t="n">
        <f aca="false">FreightMult</f>
        <v>1</v>
      </c>
      <c r="F126" s="88" t="n">
        <f aca="false">PortMult</f>
        <v>1</v>
      </c>
      <c r="G126" s="89" t="n">
        <f aca="false">UtilFH</f>
        <v>0.85</v>
      </c>
      <c r="H126" s="89" t="n">
        <f aca="false">UtilBH</f>
        <v>0.5</v>
      </c>
      <c r="I126" s="90" t="n">
        <f aca="false">Speed</f>
        <v>13.5</v>
      </c>
      <c r="J126" s="88" t="n">
        <f aca="false">PortCostMult</f>
        <v>1</v>
      </c>
      <c r="K126" s="90" t="n">
        <f aca="false">EUA</f>
        <v>75</v>
      </c>
      <c r="L126" s="71" t="n">
        <f aca="false">INDEX(Routes!$E$6:$E$9,$C126)</f>
        <v>10850</v>
      </c>
      <c r="M126" s="72" t="n">
        <f aca="false">INDEX(Routes!$F$6:$F$9,$C126)/L126</f>
        <v>0.0414746543778802</v>
      </c>
      <c r="N126" s="77" t="n">
        <f aca="false">2*L126*(1+SeaMargin)/(I126*24)</f>
        <v>70.3240740740741</v>
      </c>
      <c r="O126" s="84" t="n">
        <f aca="false">(I126/RefSpeed)^SpeedExp</f>
        <v>1</v>
      </c>
      <c r="P126" s="2" t="n">
        <f aca="false">IF(H126&gt;0,1,0)</f>
        <v>1</v>
      </c>
      <c r="Q126" s="71" t="n">
        <f aca="false">N126/2*O126*(ConsLaden+IF(P126=1,ConsLaden,ConsBallast))</f>
        <v>1898.75</v>
      </c>
      <c r="R126" s="71" t="n">
        <f aca="false">Q126*(1-M126)</f>
        <v>1820</v>
      </c>
      <c r="S126" s="71" t="n">
        <f aca="false">Q126*M126</f>
        <v>78.75</v>
      </c>
      <c r="T126" s="2" t="n">
        <f aca="false">1+P126</f>
        <v>2</v>
      </c>
      <c r="U126" s="77" t="n">
        <f aca="false">INDEX(Routes!$L$6:$L$9,$C126)*T126*F126</f>
        <v>7</v>
      </c>
      <c r="V126" s="77" t="n">
        <f aca="false">INDEX(Routes!$M$6:$M$9,$C126)*T126*F126</f>
        <v>8</v>
      </c>
      <c r="W126" s="77" t="n">
        <f aca="false">INDEX(Routes!$H$6:$H$9,$C126)*2</f>
        <v>0</v>
      </c>
      <c r="X126" s="71" t="n">
        <f aca="false">(U126+V126+W126)*ConsPort</f>
        <v>90</v>
      </c>
      <c r="Y126" s="67" t="n">
        <f aca="false">R126*D126*VLSFO_Mult+(S126+X126)*D126*MGO_Mult</f>
        <v>1252070</v>
      </c>
      <c r="Z126" s="67" t="n">
        <f aca="false">(INDEX(Routes!$N$6:$N$9,$C126)+AN126+MIN(AC126*INDEX(Routes!$T$6:$T$9,$C126),INDEX(Routes!$V$6:$V$9,$C126))+INDEX(Routes!$O$6:$O$9,$C126)+AO126+MIN(AC126*INDEX(Routes!$U$6:$U$9,$C126),INDEX(Routes!$W$6:$W$9,$C126))+IF(P126=1,INDEX(Routes!$N$6:$N$9,$C126)+AN126+MIN(AD126*INDEX(Routes!$T$6:$T$9,$C126),INDEX(Routes!$V$6:$V$9,$C126))+INDEX(Routes!$O$6:$O$9,$C126)+AO126+MIN(AD126*INDEX(Routes!$U$6:$U$9,$C126),INDEX(Routes!$W$6:$W$9,$C126)),0))*J126</f>
        <v>231562.2096</v>
      </c>
      <c r="AA126" s="67" t="n">
        <f aca="false">INDEX(Routes!$R$6:$R$9,$C126)+IF(P126=1,INDEX(Routes!$R$6:$R$9,$C126),INDEX(Routes!$S$6:$S$9,$C126))</f>
        <v>0</v>
      </c>
      <c r="AB126" s="67" t="n">
        <f aca="false">((R126*CO2_VLSFO+S126*CO2_MGO)*INDEX(Routes!$I$6:$I$9,$C126)+(U126*INDEX(Routes!$P$6:$P$9,$C126)+V126*INDEX(Routes!$Q$6:$Q$9,$C126))*ConsPort*CO2_MGO)*PhaseIn*K126*FX</f>
        <v>255306.830625</v>
      </c>
      <c r="AC126" s="71" t="n">
        <f aca="false">Capacity*G126</f>
        <v>30600</v>
      </c>
      <c r="AD126" s="71" t="n">
        <f aca="false">Capacity*H126</f>
        <v>18000</v>
      </c>
      <c r="AE126" s="82" t="n">
        <f aca="false">INDEX(Routes!$J$6:$J$9,$C126)*E126</f>
        <v>75</v>
      </c>
      <c r="AF126" s="82" t="n">
        <f aca="false">INDEX(Routes!$K$6:$K$9,$C126)*E126</f>
        <v>55</v>
      </c>
      <c r="AG126" s="67" t="n">
        <f aca="false">AC126*AE126+AD126*AF126</f>
        <v>3285000</v>
      </c>
      <c r="AH126" s="67" t="n">
        <f aca="false">AG126*Commission</f>
        <v>82125</v>
      </c>
      <c r="AI126" s="67" t="n">
        <f aca="false">Y126+Z126+AA126+AB126+MiscVoy</f>
        <v>1763939.040225</v>
      </c>
      <c r="AJ126" s="77" t="n">
        <f aca="false">N126+U126+V126+W126</f>
        <v>85.3240740740741</v>
      </c>
      <c r="AK126" s="94" t="n">
        <f aca="false">(AG126-AH126-AI126)/AJ126</f>
        <v>16864.3606788606</v>
      </c>
      <c r="AL126" s="67" t="n">
        <f aca="false">AG126-AH126-AI126-Benchmark*AJ126</f>
        <v>-96897.3735583331</v>
      </c>
      <c r="AM126" s="82" t="n">
        <f aca="false">IF(AC126&gt;0,((Benchmark*AJ126+AI126)/(1-Commission)-AD126*AF126)/AC126,0)</f>
        <v>78.2477752156304</v>
      </c>
      <c r="AN126" s="67" t="n">
        <f aca="false">LOA_ft*Port_Tariffs!$C$9*IF((INDEX(Routes!$L$6:$L$9,$C126)*INDEX(Routes!$X$6:$X$9,$C126)*F126)&lt;=2,(INDEX(Routes!$L$6:$L$9,$C126)*INDEX(Routes!$X$6:$X$9,$C126)*F126),IF((INDEX(Routes!$L$6:$L$9,$C126)*INDEX(Routes!$X$6:$X$9,$C126)*F126)&lt;=3,2+0.9*((INDEX(Routes!$L$6:$L$9,$C126)*INDEX(Routes!$X$6:$X$9,$C126)*F126)-2),IF((INDEX(Routes!$L$6:$L$9,$C126)*INDEX(Routes!$X$6:$X$9,$C126)*F126)&lt;=4,2.9+0.75*((INDEX(Routes!$L$6:$L$9,$C126)*INDEX(Routes!$X$6:$X$9,$C126)*F126)-3),IF((INDEX(Routes!$L$6:$L$9,$C126)*INDEX(Routes!$X$6:$X$9,$C126)*F126)&lt;=5,3.65+0.6*((INDEX(Routes!$L$6:$L$9,$C126)*INDEX(Routes!$X$6:$X$9,$C126)*F126)-4),4.25+0.5*((INDEX(Routes!$L$6:$L$9,$C126)*INDEX(Routes!$X$6:$X$9,$C126)*F126)-5)))))</f>
        <v>0</v>
      </c>
      <c r="AO126" s="67" t="n">
        <f aca="false">LOA_ft*Port_Tariffs!$C$9*IF((INDEX(Routes!$M$6:$M$9,$C126)*INDEX(Routes!$Y$6:$Y$9,$C126)*F126)&lt;=2,(INDEX(Routes!$M$6:$M$9,$C126)*INDEX(Routes!$Y$6:$Y$9,$C126)*F126),IF((INDEX(Routes!$M$6:$M$9,$C126)*INDEX(Routes!$Y$6:$Y$9,$C126)*F126)&lt;=3,2+0.9*((INDEX(Routes!$M$6:$M$9,$C126)*INDEX(Routes!$Y$6:$Y$9,$C126)*F126)-2),IF((INDEX(Routes!$M$6:$M$9,$C126)*INDEX(Routes!$Y$6:$Y$9,$C126)*F126)&lt;=4,2.9+0.75*((INDEX(Routes!$M$6:$M$9,$C126)*INDEX(Routes!$Y$6:$Y$9,$C126)*F126)-3),IF((INDEX(Routes!$M$6:$M$9,$C126)*INDEX(Routes!$Y$6:$Y$9,$C126)*F126)&lt;=5,3.65+0.6*((INDEX(Routes!$M$6:$M$9,$C126)*INDEX(Routes!$Y$6:$Y$9,$C126)*F126)-4),4.25+0.5*((INDEX(Routes!$M$6:$M$9,$C126)*INDEX(Routes!$Y$6:$Y$9,$C126)*F126)-5)))))</f>
        <v>0</v>
      </c>
    </row>
    <row r="127" customFormat="false" ht="15" hidden="false" customHeight="false" outlineLevel="0" collapsed="false">
      <c r="A127" s="2" t="s">
        <v>623</v>
      </c>
      <c r="B127" s="2" t="s">
        <v>592</v>
      </c>
      <c r="C127" s="13" t="n">
        <v>4</v>
      </c>
      <c r="D127" s="70" t="n">
        <v>90</v>
      </c>
      <c r="E127" s="88" t="n">
        <f aca="false">FreightMult</f>
        <v>1</v>
      </c>
      <c r="F127" s="88" t="n">
        <f aca="false">PortMult</f>
        <v>1</v>
      </c>
      <c r="G127" s="89" t="n">
        <f aca="false">UtilFH</f>
        <v>0.85</v>
      </c>
      <c r="H127" s="89" t="n">
        <f aca="false">UtilBH</f>
        <v>0.5</v>
      </c>
      <c r="I127" s="90" t="n">
        <f aca="false">Speed</f>
        <v>13.5</v>
      </c>
      <c r="J127" s="88" t="n">
        <f aca="false">PortCostMult</f>
        <v>1</v>
      </c>
      <c r="K127" s="90" t="n">
        <f aca="false">EUA</f>
        <v>75</v>
      </c>
      <c r="L127" s="71" t="n">
        <f aca="false">INDEX(Routes!$E$6:$E$9,$C127)</f>
        <v>10850</v>
      </c>
      <c r="M127" s="72" t="n">
        <f aca="false">INDEX(Routes!$F$6:$F$9,$C127)/L127</f>
        <v>0.0414746543778802</v>
      </c>
      <c r="N127" s="77" t="n">
        <f aca="false">2*L127*(1+SeaMargin)/(I127*24)</f>
        <v>70.3240740740741</v>
      </c>
      <c r="O127" s="84" t="n">
        <f aca="false">(I127/RefSpeed)^SpeedExp</f>
        <v>1</v>
      </c>
      <c r="P127" s="2" t="n">
        <f aca="false">IF(H127&gt;0,1,0)</f>
        <v>1</v>
      </c>
      <c r="Q127" s="71" t="n">
        <f aca="false">N127/2*O127*(ConsLaden+IF(P127=1,ConsLaden,ConsBallast))</f>
        <v>1898.75</v>
      </c>
      <c r="R127" s="71" t="n">
        <f aca="false">Q127*(1-M127)</f>
        <v>1820</v>
      </c>
      <c r="S127" s="71" t="n">
        <f aca="false">Q127*M127</f>
        <v>78.75</v>
      </c>
      <c r="T127" s="2" t="n">
        <f aca="false">1+P127</f>
        <v>2</v>
      </c>
      <c r="U127" s="77" t="n">
        <f aca="false">INDEX(Routes!$L$6:$L$9,$C127)*T127*F127</f>
        <v>7</v>
      </c>
      <c r="V127" s="77" t="n">
        <f aca="false">INDEX(Routes!$M$6:$M$9,$C127)*T127*F127</f>
        <v>8</v>
      </c>
      <c r="W127" s="77" t="n">
        <f aca="false">INDEX(Routes!$H$6:$H$9,$C127)*2</f>
        <v>0</v>
      </c>
      <c r="X127" s="71" t="n">
        <f aca="false">(U127+V127+W127)*ConsPort</f>
        <v>90</v>
      </c>
      <c r="Y127" s="67" t="n">
        <f aca="false">R127*D127*VLSFO_Mult+(S127+X127)*D127*MGO_Mult</f>
        <v>1408578.75</v>
      </c>
      <c r="Z127" s="67" t="n">
        <f aca="false">(INDEX(Routes!$N$6:$N$9,$C127)+AN127+MIN(AC127*INDEX(Routes!$T$6:$T$9,$C127),INDEX(Routes!$V$6:$V$9,$C127))+INDEX(Routes!$O$6:$O$9,$C127)+AO127+MIN(AC127*INDEX(Routes!$U$6:$U$9,$C127),INDEX(Routes!$W$6:$W$9,$C127))+IF(P127=1,INDEX(Routes!$N$6:$N$9,$C127)+AN127+MIN(AD127*INDEX(Routes!$T$6:$T$9,$C127),INDEX(Routes!$V$6:$V$9,$C127))+INDEX(Routes!$O$6:$O$9,$C127)+AO127+MIN(AD127*INDEX(Routes!$U$6:$U$9,$C127),INDEX(Routes!$W$6:$W$9,$C127)),0))*J127</f>
        <v>231562.2096</v>
      </c>
      <c r="AA127" s="67" t="n">
        <f aca="false">INDEX(Routes!$R$6:$R$9,$C127)+IF(P127=1,INDEX(Routes!$R$6:$R$9,$C127),INDEX(Routes!$S$6:$S$9,$C127))</f>
        <v>0</v>
      </c>
      <c r="AB127" s="67" t="n">
        <f aca="false">((R127*CO2_VLSFO+S127*CO2_MGO)*INDEX(Routes!$I$6:$I$9,$C127)+(U127*INDEX(Routes!$P$6:$P$9,$C127)+V127*INDEX(Routes!$Q$6:$Q$9,$C127))*ConsPort*CO2_MGO)*PhaseIn*K127*FX</f>
        <v>255306.830625</v>
      </c>
      <c r="AC127" s="71" t="n">
        <f aca="false">Capacity*G127</f>
        <v>30600</v>
      </c>
      <c r="AD127" s="71" t="n">
        <f aca="false">Capacity*H127</f>
        <v>18000</v>
      </c>
      <c r="AE127" s="82" t="n">
        <f aca="false">INDEX(Routes!$J$6:$J$9,$C127)*E127</f>
        <v>75</v>
      </c>
      <c r="AF127" s="82" t="n">
        <f aca="false">INDEX(Routes!$K$6:$K$9,$C127)*E127</f>
        <v>55</v>
      </c>
      <c r="AG127" s="67" t="n">
        <f aca="false">AC127*AE127+AD127*AF127</f>
        <v>3285000</v>
      </c>
      <c r="AH127" s="67" t="n">
        <f aca="false">AG127*Commission</f>
        <v>82125</v>
      </c>
      <c r="AI127" s="67" t="n">
        <f aca="false">Y127+Z127+AA127+AB127+MiscVoy</f>
        <v>1920447.790225</v>
      </c>
      <c r="AJ127" s="77" t="n">
        <f aca="false">N127+U127+V127+W127</f>
        <v>85.3240740740741</v>
      </c>
      <c r="AK127" s="94" t="n">
        <f aca="false">(AG127-AH127-AI127)/AJ127</f>
        <v>15030.0747320347</v>
      </c>
      <c r="AL127" s="67" t="n">
        <f aca="false">AG127-AH127-AI127-Benchmark*AJ127</f>
        <v>-253406.123558333</v>
      </c>
      <c r="AM127" s="82" t="n">
        <f aca="false">IF(AC127&gt;0,((Benchmark*AJ127+AI127)/(1-Commission)-AD127*AF127)/AC127,0)</f>
        <v>83.4935855055584</v>
      </c>
      <c r="AN127" s="67" t="n">
        <f aca="false">LOA_ft*Port_Tariffs!$C$9*IF((INDEX(Routes!$L$6:$L$9,$C127)*INDEX(Routes!$X$6:$X$9,$C127)*F127)&lt;=2,(INDEX(Routes!$L$6:$L$9,$C127)*INDEX(Routes!$X$6:$X$9,$C127)*F127),IF((INDEX(Routes!$L$6:$L$9,$C127)*INDEX(Routes!$X$6:$X$9,$C127)*F127)&lt;=3,2+0.9*((INDEX(Routes!$L$6:$L$9,$C127)*INDEX(Routes!$X$6:$X$9,$C127)*F127)-2),IF((INDEX(Routes!$L$6:$L$9,$C127)*INDEX(Routes!$X$6:$X$9,$C127)*F127)&lt;=4,2.9+0.75*((INDEX(Routes!$L$6:$L$9,$C127)*INDEX(Routes!$X$6:$X$9,$C127)*F127)-3),IF((INDEX(Routes!$L$6:$L$9,$C127)*INDEX(Routes!$X$6:$X$9,$C127)*F127)&lt;=5,3.65+0.6*((INDEX(Routes!$L$6:$L$9,$C127)*INDEX(Routes!$X$6:$X$9,$C127)*F127)-4),4.25+0.5*((INDEX(Routes!$L$6:$L$9,$C127)*INDEX(Routes!$X$6:$X$9,$C127)*F127)-5)))))</f>
        <v>0</v>
      </c>
      <c r="AO127" s="67" t="n">
        <f aca="false">LOA_ft*Port_Tariffs!$C$9*IF((INDEX(Routes!$M$6:$M$9,$C127)*INDEX(Routes!$Y$6:$Y$9,$C127)*F127)&lt;=2,(INDEX(Routes!$M$6:$M$9,$C127)*INDEX(Routes!$Y$6:$Y$9,$C127)*F127),IF((INDEX(Routes!$M$6:$M$9,$C127)*INDEX(Routes!$Y$6:$Y$9,$C127)*F127)&lt;=3,2+0.9*((INDEX(Routes!$M$6:$M$9,$C127)*INDEX(Routes!$Y$6:$Y$9,$C127)*F127)-2),IF((INDEX(Routes!$M$6:$M$9,$C127)*INDEX(Routes!$Y$6:$Y$9,$C127)*F127)&lt;=4,2.9+0.75*((INDEX(Routes!$M$6:$M$9,$C127)*INDEX(Routes!$Y$6:$Y$9,$C127)*F127)-3),IF((INDEX(Routes!$M$6:$M$9,$C127)*INDEX(Routes!$Y$6:$Y$9,$C127)*F127)&lt;=5,3.65+0.6*((INDEX(Routes!$M$6:$M$9,$C127)*INDEX(Routes!$Y$6:$Y$9,$C127)*F127)-4),4.25+0.5*((INDEX(Routes!$M$6:$M$9,$C127)*INDEX(Routes!$Y$6:$Y$9,$C127)*F127)-5)))))</f>
        <v>0</v>
      </c>
    </row>
    <row r="128" customFormat="false" ht="15" hidden="false" customHeight="false" outlineLevel="0" collapsed="false">
      <c r="A128" s="2" t="s">
        <v>624</v>
      </c>
      <c r="B128" s="2" t="s">
        <v>592</v>
      </c>
      <c r="C128" s="13" t="n">
        <v>4</v>
      </c>
      <c r="D128" s="70" t="n">
        <v>100</v>
      </c>
      <c r="E128" s="88" t="n">
        <f aca="false">FreightMult</f>
        <v>1</v>
      </c>
      <c r="F128" s="88" t="n">
        <f aca="false">PortMult</f>
        <v>1</v>
      </c>
      <c r="G128" s="89" t="n">
        <f aca="false">UtilFH</f>
        <v>0.85</v>
      </c>
      <c r="H128" s="89" t="n">
        <f aca="false">UtilBH</f>
        <v>0.5</v>
      </c>
      <c r="I128" s="90" t="n">
        <f aca="false">Speed</f>
        <v>13.5</v>
      </c>
      <c r="J128" s="88" t="n">
        <f aca="false">PortCostMult</f>
        <v>1</v>
      </c>
      <c r="K128" s="90" t="n">
        <f aca="false">EUA</f>
        <v>75</v>
      </c>
      <c r="L128" s="71" t="n">
        <f aca="false">INDEX(Routes!$E$6:$E$9,$C128)</f>
        <v>10850</v>
      </c>
      <c r="M128" s="72" t="n">
        <f aca="false">INDEX(Routes!$F$6:$F$9,$C128)/L128</f>
        <v>0.0414746543778802</v>
      </c>
      <c r="N128" s="77" t="n">
        <f aca="false">2*L128*(1+SeaMargin)/(I128*24)</f>
        <v>70.3240740740741</v>
      </c>
      <c r="O128" s="84" t="n">
        <f aca="false">(I128/RefSpeed)^SpeedExp</f>
        <v>1</v>
      </c>
      <c r="P128" s="2" t="n">
        <f aca="false">IF(H128&gt;0,1,0)</f>
        <v>1</v>
      </c>
      <c r="Q128" s="71" t="n">
        <f aca="false">N128/2*O128*(ConsLaden+IF(P128=1,ConsLaden,ConsBallast))</f>
        <v>1898.75</v>
      </c>
      <c r="R128" s="71" t="n">
        <f aca="false">Q128*(1-M128)</f>
        <v>1820</v>
      </c>
      <c r="S128" s="71" t="n">
        <f aca="false">Q128*M128</f>
        <v>78.75</v>
      </c>
      <c r="T128" s="2" t="n">
        <f aca="false">1+P128</f>
        <v>2</v>
      </c>
      <c r="U128" s="77" t="n">
        <f aca="false">INDEX(Routes!$L$6:$L$9,$C128)*T128*F128</f>
        <v>7</v>
      </c>
      <c r="V128" s="77" t="n">
        <f aca="false">INDEX(Routes!$M$6:$M$9,$C128)*T128*F128</f>
        <v>8</v>
      </c>
      <c r="W128" s="77" t="n">
        <f aca="false">INDEX(Routes!$H$6:$H$9,$C128)*2</f>
        <v>0</v>
      </c>
      <c r="X128" s="71" t="n">
        <f aca="false">(U128+V128+W128)*ConsPort</f>
        <v>90</v>
      </c>
      <c r="Y128" s="67" t="n">
        <f aca="false">R128*D128*VLSFO_Mult+(S128+X128)*D128*MGO_Mult</f>
        <v>1565087.5</v>
      </c>
      <c r="Z128" s="67" t="n">
        <f aca="false">(INDEX(Routes!$N$6:$N$9,$C128)+AN128+MIN(AC128*INDEX(Routes!$T$6:$T$9,$C128),INDEX(Routes!$V$6:$V$9,$C128))+INDEX(Routes!$O$6:$O$9,$C128)+AO128+MIN(AC128*INDEX(Routes!$U$6:$U$9,$C128),INDEX(Routes!$W$6:$W$9,$C128))+IF(P128=1,INDEX(Routes!$N$6:$N$9,$C128)+AN128+MIN(AD128*INDEX(Routes!$T$6:$T$9,$C128),INDEX(Routes!$V$6:$V$9,$C128))+INDEX(Routes!$O$6:$O$9,$C128)+AO128+MIN(AD128*INDEX(Routes!$U$6:$U$9,$C128),INDEX(Routes!$W$6:$W$9,$C128)),0))*J128</f>
        <v>231562.2096</v>
      </c>
      <c r="AA128" s="67" t="n">
        <f aca="false">INDEX(Routes!$R$6:$R$9,$C128)+IF(P128=1,INDEX(Routes!$R$6:$R$9,$C128),INDEX(Routes!$S$6:$S$9,$C128))</f>
        <v>0</v>
      </c>
      <c r="AB128" s="67" t="n">
        <f aca="false">((R128*CO2_VLSFO+S128*CO2_MGO)*INDEX(Routes!$I$6:$I$9,$C128)+(U128*INDEX(Routes!$P$6:$P$9,$C128)+V128*INDEX(Routes!$Q$6:$Q$9,$C128))*ConsPort*CO2_MGO)*PhaseIn*K128*FX</f>
        <v>255306.830625</v>
      </c>
      <c r="AC128" s="71" t="n">
        <f aca="false">Capacity*G128</f>
        <v>30600</v>
      </c>
      <c r="AD128" s="71" t="n">
        <f aca="false">Capacity*H128</f>
        <v>18000</v>
      </c>
      <c r="AE128" s="82" t="n">
        <f aca="false">INDEX(Routes!$J$6:$J$9,$C128)*E128</f>
        <v>75</v>
      </c>
      <c r="AF128" s="82" t="n">
        <f aca="false">INDEX(Routes!$K$6:$K$9,$C128)*E128</f>
        <v>55</v>
      </c>
      <c r="AG128" s="67" t="n">
        <f aca="false">AC128*AE128+AD128*AF128</f>
        <v>3285000</v>
      </c>
      <c r="AH128" s="67" t="n">
        <f aca="false">AG128*Commission</f>
        <v>82125</v>
      </c>
      <c r="AI128" s="67" t="n">
        <f aca="false">Y128+Z128+AA128+AB128+MiscVoy</f>
        <v>2076956.540225</v>
      </c>
      <c r="AJ128" s="77" t="n">
        <f aca="false">N128+U128+V128+W128</f>
        <v>85.3240740740741</v>
      </c>
      <c r="AK128" s="94" t="n">
        <f aca="false">(AG128-AH128-AI128)/AJ128</f>
        <v>13195.7887852089</v>
      </c>
      <c r="AL128" s="67" t="n">
        <f aca="false">AG128-AH128-AI128-Benchmark*AJ128</f>
        <v>-409914.873558333</v>
      </c>
      <c r="AM128" s="82" t="n">
        <f aca="false">IF(AC128&gt;0,((Benchmark*AJ128+AI128)/(1-Commission)-AD128*AF128)/AC128,0)</f>
        <v>88.7393957954863</v>
      </c>
      <c r="AN128" s="67" t="n">
        <f aca="false">LOA_ft*Port_Tariffs!$C$9*IF((INDEX(Routes!$L$6:$L$9,$C128)*INDEX(Routes!$X$6:$X$9,$C128)*F128)&lt;=2,(INDEX(Routes!$L$6:$L$9,$C128)*INDEX(Routes!$X$6:$X$9,$C128)*F128),IF((INDEX(Routes!$L$6:$L$9,$C128)*INDEX(Routes!$X$6:$X$9,$C128)*F128)&lt;=3,2+0.9*((INDEX(Routes!$L$6:$L$9,$C128)*INDEX(Routes!$X$6:$X$9,$C128)*F128)-2),IF((INDEX(Routes!$L$6:$L$9,$C128)*INDEX(Routes!$X$6:$X$9,$C128)*F128)&lt;=4,2.9+0.75*((INDEX(Routes!$L$6:$L$9,$C128)*INDEX(Routes!$X$6:$X$9,$C128)*F128)-3),IF((INDEX(Routes!$L$6:$L$9,$C128)*INDEX(Routes!$X$6:$X$9,$C128)*F128)&lt;=5,3.65+0.6*((INDEX(Routes!$L$6:$L$9,$C128)*INDEX(Routes!$X$6:$X$9,$C128)*F128)-4),4.25+0.5*((INDEX(Routes!$L$6:$L$9,$C128)*INDEX(Routes!$X$6:$X$9,$C128)*F128)-5)))))</f>
        <v>0</v>
      </c>
      <c r="AO128" s="67" t="n">
        <f aca="false">LOA_ft*Port_Tariffs!$C$9*IF((INDEX(Routes!$M$6:$M$9,$C128)*INDEX(Routes!$Y$6:$Y$9,$C128)*F128)&lt;=2,(INDEX(Routes!$M$6:$M$9,$C128)*INDEX(Routes!$Y$6:$Y$9,$C128)*F128),IF((INDEX(Routes!$M$6:$M$9,$C128)*INDEX(Routes!$Y$6:$Y$9,$C128)*F128)&lt;=3,2+0.9*((INDEX(Routes!$M$6:$M$9,$C128)*INDEX(Routes!$Y$6:$Y$9,$C128)*F128)-2),IF((INDEX(Routes!$M$6:$M$9,$C128)*INDEX(Routes!$Y$6:$Y$9,$C128)*F128)&lt;=4,2.9+0.75*((INDEX(Routes!$M$6:$M$9,$C128)*INDEX(Routes!$Y$6:$Y$9,$C128)*F128)-3),IF((INDEX(Routes!$M$6:$M$9,$C128)*INDEX(Routes!$Y$6:$Y$9,$C128)*F128)&lt;=5,3.65+0.6*((INDEX(Routes!$M$6:$M$9,$C128)*INDEX(Routes!$Y$6:$Y$9,$C128)*F128)-4),4.25+0.5*((INDEX(Routes!$M$6:$M$9,$C128)*INDEX(Routes!$Y$6:$Y$9,$C128)*F128)-5)))))</f>
        <v>0</v>
      </c>
    </row>
    <row r="129" customFormat="false" ht="15" hidden="false" customHeight="false" outlineLevel="0" collapsed="false">
      <c r="A129" s="2" t="s">
        <v>625</v>
      </c>
      <c r="B129" s="2" t="s">
        <v>592</v>
      </c>
      <c r="C129" s="13" t="n">
        <v>4</v>
      </c>
      <c r="D129" s="70" t="n">
        <v>110</v>
      </c>
      <c r="E129" s="88" t="n">
        <f aca="false">FreightMult</f>
        <v>1</v>
      </c>
      <c r="F129" s="88" t="n">
        <f aca="false">PortMult</f>
        <v>1</v>
      </c>
      <c r="G129" s="89" t="n">
        <f aca="false">UtilFH</f>
        <v>0.85</v>
      </c>
      <c r="H129" s="89" t="n">
        <f aca="false">UtilBH</f>
        <v>0.5</v>
      </c>
      <c r="I129" s="90" t="n">
        <f aca="false">Speed</f>
        <v>13.5</v>
      </c>
      <c r="J129" s="88" t="n">
        <f aca="false">PortCostMult</f>
        <v>1</v>
      </c>
      <c r="K129" s="90" t="n">
        <f aca="false">EUA</f>
        <v>75</v>
      </c>
      <c r="L129" s="71" t="n">
        <f aca="false">INDEX(Routes!$E$6:$E$9,$C129)</f>
        <v>10850</v>
      </c>
      <c r="M129" s="72" t="n">
        <f aca="false">INDEX(Routes!$F$6:$F$9,$C129)/L129</f>
        <v>0.0414746543778802</v>
      </c>
      <c r="N129" s="77" t="n">
        <f aca="false">2*L129*(1+SeaMargin)/(I129*24)</f>
        <v>70.3240740740741</v>
      </c>
      <c r="O129" s="84" t="n">
        <f aca="false">(I129/RefSpeed)^SpeedExp</f>
        <v>1</v>
      </c>
      <c r="P129" s="2" t="n">
        <f aca="false">IF(H129&gt;0,1,0)</f>
        <v>1</v>
      </c>
      <c r="Q129" s="71" t="n">
        <f aca="false">N129/2*O129*(ConsLaden+IF(P129=1,ConsLaden,ConsBallast))</f>
        <v>1898.75</v>
      </c>
      <c r="R129" s="71" t="n">
        <f aca="false">Q129*(1-M129)</f>
        <v>1820</v>
      </c>
      <c r="S129" s="71" t="n">
        <f aca="false">Q129*M129</f>
        <v>78.75</v>
      </c>
      <c r="T129" s="2" t="n">
        <f aca="false">1+P129</f>
        <v>2</v>
      </c>
      <c r="U129" s="77" t="n">
        <f aca="false">INDEX(Routes!$L$6:$L$9,$C129)*T129*F129</f>
        <v>7</v>
      </c>
      <c r="V129" s="77" t="n">
        <f aca="false">INDEX(Routes!$M$6:$M$9,$C129)*T129*F129</f>
        <v>8</v>
      </c>
      <c r="W129" s="77" t="n">
        <f aca="false">INDEX(Routes!$H$6:$H$9,$C129)*2</f>
        <v>0</v>
      </c>
      <c r="X129" s="71" t="n">
        <f aca="false">(U129+V129+W129)*ConsPort</f>
        <v>90</v>
      </c>
      <c r="Y129" s="67" t="n">
        <f aca="false">R129*D129*VLSFO_Mult+(S129+X129)*D129*MGO_Mult</f>
        <v>1721596.25</v>
      </c>
      <c r="Z129" s="67" t="n">
        <f aca="false">(INDEX(Routes!$N$6:$N$9,$C129)+AN129+MIN(AC129*INDEX(Routes!$T$6:$T$9,$C129),INDEX(Routes!$V$6:$V$9,$C129))+INDEX(Routes!$O$6:$O$9,$C129)+AO129+MIN(AC129*INDEX(Routes!$U$6:$U$9,$C129),INDEX(Routes!$W$6:$W$9,$C129))+IF(P129=1,INDEX(Routes!$N$6:$N$9,$C129)+AN129+MIN(AD129*INDEX(Routes!$T$6:$T$9,$C129),INDEX(Routes!$V$6:$V$9,$C129))+INDEX(Routes!$O$6:$O$9,$C129)+AO129+MIN(AD129*INDEX(Routes!$U$6:$U$9,$C129),INDEX(Routes!$W$6:$W$9,$C129)),0))*J129</f>
        <v>231562.2096</v>
      </c>
      <c r="AA129" s="67" t="n">
        <f aca="false">INDEX(Routes!$R$6:$R$9,$C129)+IF(P129=1,INDEX(Routes!$R$6:$R$9,$C129),INDEX(Routes!$S$6:$S$9,$C129))</f>
        <v>0</v>
      </c>
      <c r="AB129" s="67" t="n">
        <f aca="false">((R129*CO2_VLSFO+S129*CO2_MGO)*INDEX(Routes!$I$6:$I$9,$C129)+(U129*INDEX(Routes!$P$6:$P$9,$C129)+V129*INDEX(Routes!$Q$6:$Q$9,$C129))*ConsPort*CO2_MGO)*PhaseIn*K129*FX</f>
        <v>255306.830625</v>
      </c>
      <c r="AC129" s="71" t="n">
        <f aca="false">Capacity*G129</f>
        <v>30600</v>
      </c>
      <c r="AD129" s="71" t="n">
        <f aca="false">Capacity*H129</f>
        <v>18000</v>
      </c>
      <c r="AE129" s="82" t="n">
        <f aca="false">INDEX(Routes!$J$6:$J$9,$C129)*E129</f>
        <v>75</v>
      </c>
      <c r="AF129" s="82" t="n">
        <f aca="false">INDEX(Routes!$K$6:$K$9,$C129)*E129</f>
        <v>55</v>
      </c>
      <c r="AG129" s="67" t="n">
        <f aca="false">AC129*AE129+AD129*AF129</f>
        <v>3285000</v>
      </c>
      <c r="AH129" s="67" t="n">
        <f aca="false">AG129*Commission</f>
        <v>82125</v>
      </c>
      <c r="AI129" s="67" t="n">
        <f aca="false">Y129+Z129+AA129+AB129+MiscVoy</f>
        <v>2233465.290225</v>
      </c>
      <c r="AJ129" s="77" t="n">
        <f aca="false">N129+U129+V129+W129</f>
        <v>85.3240740740741</v>
      </c>
      <c r="AK129" s="94" t="n">
        <f aca="false">(AG129-AH129-AI129)/AJ129</f>
        <v>11361.5028383831</v>
      </c>
      <c r="AL129" s="67" t="n">
        <f aca="false">AG129-AH129-AI129-Benchmark*AJ129</f>
        <v>-566423.623558333</v>
      </c>
      <c r="AM129" s="82" t="n">
        <f aca="false">IF(AC129&gt;0,((Benchmark*AJ129+AI129)/(1-Commission)-AD129*AF129)/AC129,0)</f>
        <v>93.9852060854142</v>
      </c>
      <c r="AN129" s="67" t="n">
        <f aca="false">LOA_ft*Port_Tariffs!$C$9*IF((INDEX(Routes!$L$6:$L$9,$C129)*INDEX(Routes!$X$6:$X$9,$C129)*F129)&lt;=2,(INDEX(Routes!$L$6:$L$9,$C129)*INDEX(Routes!$X$6:$X$9,$C129)*F129),IF((INDEX(Routes!$L$6:$L$9,$C129)*INDEX(Routes!$X$6:$X$9,$C129)*F129)&lt;=3,2+0.9*((INDEX(Routes!$L$6:$L$9,$C129)*INDEX(Routes!$X$6:$X$9,$C129)*F129)-2),IF((INDEX(Routes!$L$6:$L$9,$C129)*INDEX(Routes!$X$6:$X$9,$C129)*F129)&lt;=4,2.9+0.75*((INDEX(Routes!$L$6:$L$9,$C129)*INDEX(Routes!$X$6:$X$9,$C129)*F129)-3),IF((INDEX(Routes!$L$6:$L$9,$C129)*INDEX(Routes!$X$6:$X$9,$C129)*F129)&lt;=5,3.65+0.6*((INDEX(Routes!$L$6:$L$9,$C129)*INDEX(Routes!$X$6:$X$9,$C129)*F129)-4),4.25+0.5*((INDEX(Routes!$L$6:$L$9,$C129)*INDEX(Routes!$X$6:$X$9,$C129)*F129)-5)))))</f>
        <v>0</v>
      </c>
      <c r="AO129" s="67" t="n">
        <f aca="false">LOA_ft*Port_Tariffs!$C$9*IF((INDEX(Routes!$M$6:$M$9,$C129)*INDEX(Routes!$Y$6:$Y$9,$C129)*F129)&lt;=2,(INDEX(Routes!$M$6:$M$9,$C129)*INDEX(Routes!$Y$6:$Y$9,$C129)*F129),IF((INDEX(Routes!$M$6:$M$9,$C129)*INDEX(Routes!$Y$6:$Y$9,$C129)*F129)&lt;=3,2+0.9*((INDEX(Routes!$M$6:$M$9,$C129)*INDEX(Routes!$Y$6:$Y$9,$C129)*F129)-2),IF((INDEX(Routes!$M$6:$M$9,$C129)*INDEX(Routes!$Y$6:$Y$9,$C129)*F129)&lt;=4,2.9+0.75*((INDEX(Routes!$M$6:$M$9,$C129)*INDEX(Routes!$Y$6:$Y$9,$C129)*F129)-3),IF((INDEX(Routes!$M$6:$M$9,$C129)*INDEX(Routes!$Y$6:$Y$9,$C129)*F129)&lt;=5,3.65+0.6*((INDEX(Routes!$M$6:$M$9,$C129)*INDEX(Routes!$Y$6:$Y$9,$C129)*F129)-4),4.25+0.5*((INDEX(Routes!$M$6:$M$9,$C129)*INDEX(Routes!$Y$6:$Y$9,$C129)*F129)-5)))))</f>
        <v>0</v>
      </c>
    </row>
    <row r="130" customFormat="false" ht="15" hidden="false" customHeight="false" outlineLevel="0" collapsed="false">
      <c r="A130" s="2" t="s">
        <v>626</v>
      </c>
      <c r="B130" s="2" t="s">
        <v>592</v>
      </c>
      <c r="C130" s="13" t="n">
        <v>4</v>
      </c>
      <c r="D130" s="70" t="n">
        <v>120</v>
      </c>
      <c r="E130" s="88" t="n">
        <f aca="false">FreightMult</f>
        <v>1</v>
      </c>
      <c r="F130" s="88" t="n">
        <f aca="false">PortMult</f>
        <v>1</v>
      </c>
      <c r="G130" s="89" t="n">
        <f aca="false">UtilFH</f>
        <v>0.85</v>
      </c>
      <c r="H130" s="89" t="n">
        <f aca="false">UtilBH</f>
        <v>0.5</v>
      </c>
      <c r="I130" s="90" t="n">
        <f aca="false">Speed</f>
        <v>13.5</v>
      </c>
      <c r="J130" s="88" t="n">
        <f aca="false">PortCostMult</f>
        <v>1</v>
      </c>
      <c r="K130" s="90" t="n">
        <f aca="false">EUA</f>
        <v>75</v>
      </c>
      <c r="L130" s="71" t="n">
        <f aca="false">INDEX(Routes!$E$6:$E$9,$C130)</f>
        <v>10850</v>
      </c>
      <c r="M130" s="72" t="n">
        <f aca="false">INDEX(Routes!$F$6:$F$9,$C130)/L130</f>
        <v>0.0414746543778802</v>
      </c>
      <c r="N130" s="77" t="n">
        <f aca="false">2*L130*(1+SeaMargin)/(I130*24)</f>
        <v>70.3240740740741</v>
      </c>
      <c r="O130" s="84" t="n">
        <f aca="false">(I130/RefSpeed)^SpeedExp</f>
        <v>1</v>
      </c>
      <c r="P130" s="2" t="n">
        <f aca="false">IF(H130&gt;0,1,0)</f>
        <v>1</v>
      </c>
      <c r="Q130" s="71" t="n">
        <f aca="false">N130/2*O130*(ConsLaden+IF(P130=1,ConsLaden,ConsBallast))</f>
        <v>1898.75</v>
      </c>
      <c r="R130" s="71" t="n">
        <f aca="false">Q130*(1-M130)</f>
        <v>1820</v>
      </c>
      <c r="S130" s="71" t="n">
        <f aca="false">Q130*M130</f>
        <v>78.75</v>
      </c>
      <c r="T130" s="2" t="n">
        <f aca="false">1+P130</f>
        <v>2</v>
      </c>
      <c r="U130" s="77" t="n">
        <f aca="false">INDEX(Routes!$L$6:$L$9,$C130)*T130*F130</f>
        <v>7</v>
      </c>
      <c r="V130" s="77" t="n">
        <f aca="false">INDEX(Routes!$M$6:$M$9,$C130)*T130*F130</f>
        <v>8</v>
      </c>
      <c r="W130" s="77" t="n">
        <f aca="false">INDEX(Routes!$H$6:$H$9,$C130)*2</f>
        <v>0</v>
      </c>
      <c r="X130" s="71" t="n">
        <f aca="false">(U130+V130+W130)*ConsPort</f>
        <v>90</v>
      </c>
      <c r="Y130" s="67" t="n">
        <f aca="false">R130*D130*VLSFO_Mult+(S130+X130)*D130*MGO_Mult</f>
        <v>1878105</v>
      </c>
      <c r="Z130" s="67" t="n">
        <f aca="false">(INDEX(Routes!$N$6:$N$9,$C130)+AN130+MIN(AC130*INDEX(Routes!$T$6:$T$9,$C130),INDEX(Routes!$V$6:$V$9,$C130))+INDEX(Routes!$O$6:$O$9,$C130)+AO130+MIN(AC130*INDEX(Routes!$U$6:$U$9,$C130),INDEX(Routes!$W$6:$W$9,$C130))+IF(P130=1,INDEX(Routes!$N$6:$N$9,$C130)+AN130+MIN(AD130*INDEX(Routes!$T$6:$T$9,$C130),INDEX(Routes!$V$6:$V$9,$C130))+INDEX(Routes!$O$6:$O$9,$C130)+AO130+MIN(AD130*INDEX(Routes!$U$6:$U$9,$C130),INDEX(Routes!$W$6:$W$9,$C130)),0))*J130</f>
        <v>231562.2096</v>
      </c>
      <c r="AA130" s="67" t="n">
        <f aca="false">INDEX(Routes!$R$6:$R$9,$C130)+IF(P130=1,INDEX(Routes!$R$6:$R$9,$C130),INDEX(Routes!$S$6:$S$9,$C130))</f>
        <v>0</v>
      </c>
      <c r="AB130" s="67" t="n">
        <f aca="false">((R130*CO2_VLSFO+S130*CO2_MGO)*INDEX(Routes!$I$6:$I$9,$C130)+(U130*INDEX(Routes!$P$6:$P$9,$C130)+V130*INDEX(Routes!$Q$6:$Q$9,$C130))*ConsPort*CO2_MGO)*PhaseIn*K130*FX</f>
        <v>255306.830625</v>
      </c>
      <c r="AC130" s="71" t="n">
        <f aca="false">Capacity*G130</f>
        <v>30600</v>
      </c>
      <c r="AD130" s="71" t="n">
        <f aca="false">Capacity*H130</f>
        <v>18000</v>
      </c>
      <c r="AE130" s="82" t="n">
        <f aca="false">INDEX(Routes!$J$6:$J$9,$C130)*E130</f>
        <v>75</v>
      </c>
      <c r="AF130" s="82" t="n">
        <f aca="false">INDEX(Routes!$K$6:$K$9,$C130)*E130</f>
        <v>55</v>
      </c>
      <c r="AG130" s="67" t="n">
        <f aca="false">AC130*AE130+AD130*AF130</f>
        <v>3285000</v>
      </c>
      <c r="AH130" s="67" t="n">
        <f aca="false">AG130*Commission</f>
        <v>82125</v>
      </c>
      <c r="AI130" s="67" t="n">
        <f aca="false">Y130+Z130+AA130+AB130+MiscVoy</f>
        <v>2389974.040225</v>
      </c>
      <c r="AJ130" s="77" t="n">
        <f aca="false">N130+U130+V130+W130</f>
        <v>85.3240740740741</v>
      </c>
      <c r="AK130" s="94" t="n">
        <f aca="false">(AG130-AH130-AI130)/AJ130</f>
        <v>9527.21689155724</v>
      </c>
      <c r="AL130" s="67" t="n">
        <f aca="false">AG130-AH130-AI130-Benchmark*AJ130</f>
        <v>-722932.373558333</v>
      </c>
      <c r="AM130" s="82" t="n">
        <f aca="false">IF(AC130&gt;0,((Benchmark*AJ130+AI130)/(1-Commission)-AD130*AF130)/AC130,0)</f>
        <v>99.2310163753422</v>
      </c>
      <c r="AN130" s="67" t="n">
        <f aca="false">LOA_ft*Port_Tariffs!$C$9*IF((INDEX(Routes!$L$6:$L$9,$C130)*INDEX(Routes!$X$6:$X$9,$C130)*F130)&lt;=2,(INDEX(Routes!$L$6:$L$9,$C130)*INDEX(Routes!$X$6:$X$9,$C130)*F130),IF((INDEX(Routes!$L$6:$L$9,$C130)*INDEX(Routes!$X$6:$X$9,$C130)*F130)&lt;=3,2+0.9*((INDEX(Routes!$L$6:$L$9,$C130)*INDEX(Routes!$X$6:$X$9,$C130)*F130)-2),IF((INDEX(Routes!$L$6:$L$9,$C130)*INDEX(Routes!$X$6:$X$9,$C130)*F130)&lt;=4,2.9+0.75*((INDEX(Routes!$L$6:$L$9,$C130)*INDEX(Routes!$X$6:$X$9,$C130)*F130)-3),IF((INDEX(Routes!$L$6:$L$9,$C130)*INDEX(Routes!$X$6:$X$9,$C130)*F130)&lt;=5,3.65+0.6*((INDEX(Routes!$L$6:$L$9,$C130)*INDEX(Routes!$X$6:$X$9,$C130)*F130)-4),4.25+0.5*((INDEX(Routes!$L$6:$L$9,$C130)*INDEX(Routes!$X$6:$X$9,$C130)*F130)-5)))))</f>
        <v>0</v>
      </c>
      <c r="AO130" s="67" t="n">
        <f aca="false">LOA_ft*Port_Tariffs!$C$9*IF((INDEX(Routes!$M$6:$M$9,$C130)*INDEX(Routes!$Y$6:$Y$9,$C130)*F130)&lt;=2,(INDEX(Routes!$M$6:$M$9,$C130)*INDEX(Routes!$Y$6:$Y$9,$C130)*F130),IF((INDEX(Routes!$M$6:$M$9,$C130)*INDEX(Routes!$Y$6:$Y$9,$C130)*F130)&lt;=3,2+0.9*((INDEX(Routes!$M$6:$M$9,$C130)*INDEX(Routes!$Y$6:$Y$9,$C130)*F130)-2),IF((INDEX(Routes!$M$6:$M$9,$C130)*INDEX(Routes!$Y$6:$Y$9,$C130)*F130)&lt;=4,2.9+0.75*((INDEX(Routes!$M$6:$M$9,$C130)*INDEX(Routes!$Y$6:$Y$9,$C130)*F130)-3),IF((INDEX(Routes!$M$6:$M$9,$C130)*INDEX(Routes!$Y$6:$Y$9,$C130)*F130)&lt;=5,3.65+0.6*((INDEX(Routes!$M$6:$M$9,$C130)*INDEX(Routes!$Y$6:$Y$9,$C130)*F130)-4),4.25+0.5*((INDEX(Routes!$M$6:$M$9,$C130)*INDEX(Routes!$Y$6:$Y$9,$C130)*F130)-5)))))</f>
        <v>0</v>
      </c>
    </row>
    <row r="131" customFormat="false" ht="15" hidden="false" customHeight="false" outlineLevel="0" collapsed="false">
      <c r="A131" s="2" t="s">
        <v>627</v>
      </c>
      <c r="B131" s="2" t="s">
        <v>592</v>
      </c>
      <c r="C131" s="13" t="n">
        <v>4</v>
      </c>
      <c r="D131" s="70" t="n">
        <v>130</v>
      </c>
      <c r="E131" s="88" t="n">
        <f aca="false">FreightMult</f>
        <v>1</v>
      </c>
      <c r="F131" s="88" t="n">
        <f aca="false">PortMult</f>
        <v>1</v>
      </c>
      <c r="G131" s="89" t="n">
        <f aca="false">UtilFH</f>
        <v>0.85</v>
      </c>
      <c r="H131" s="89" t="n">
        <f aca="false">UtilBH</f>
        <v>0.5</v>
      </c>
      <c r="I131" s="90" t="n">
        <f aca="false">Speed</f>
        <v>13.5</v>
      </c>
      <c r="J131" s="88" t="n">
        <f aca="false">PortCostMult</f>
        <v>1</v>
      </c>
      <c r="K131" s="90" t="n">
        <f aca="false">EUA</f>
        <v>75</v>
      </c>
      <c r="L131" s="71" t="n">
        <f aca="false">INDEX(Routes!$E$6:$E$9,$C131)</f>
        <v>10850</v>
      </c>
      <c r="M131" s="72" t="n">
        <f aca="false">INDEX(Routes!$F$6:$F$9,$C131)/L131</f>
        <v>0.0414746543778802</v>
      </c>
      <c r="N131" s="77" t="n">
        <f aca="false">2*L131*(1+SeaMargin)/(I131*24)</f>
        <v>70.3240740740741</v>
      </c>
      <c r="O131" s="84" t="n">
        <f aca="false">(I131/RefSpeed)^SpeedExp</f>
        <v>1</v>
      </c>
      <c r="P131" s="2" t="n">
        <f aca="false">IF(H131&gt;0,1,0)</f>
        <v>1</v>
      </c>
      <c r="Q131" s="71" t="n">
        <f aca="false">N131/2*O131*(ConsLaden+IF(P131=1,ConsLaden,ConsBallast))</f>
        <v>1898.75</v>
      </c>
      <c r="R131" s="71" t="n">
        <f aca="false">Q131*(1-M131)</f>
        <v>1820</v>
      </c>
      <c r="S131" s="71" t="n">
        <f aca="false">Q131*M131</f>
        <v>78.75</v>
      </c>
      <c r="T131" s="2" t="n">
        <f aca="false">1+P131</f>
        <v>2</v>
      </c>
      <c r="U131" s="77" t="n">
        <f aca="false">INDEX(Routes!$L$6:$L$9,$C131)*T131*F131</f>
        <v>7</v>
      </c>
      <c r="V131" s="77" t="n">
        <f aca="false">INDEX(Routes!$M$6:$M$9,$C131)*T131*F131</f>
        <v>8</v>
      </c>
      <c r="W131" s="77" t="n">
        <f aca="false">INDEX(Routes!$H$6:$H$9,$C131)*2</f>
        <v>0</v>
      </c>
      <c r="X131" s="71" t="n">
        <f aca="false">(U131+V131+W131)*ConsPort</f>
        <v>90</v>
      </c>
      <c r="Y131" s="67" t="n">
        <f aca="false">R131*D131*VLSFO_Mult+(S131+X131)*D131*MGO_Mult</f>
        <v>2034613.75</v>
      </c>
      <c r="Z131" s="67" t="n">
        <f aca="false">(INDEX(Routes!$N$6:$N$9,$C131)+AN131+MIN(AC131*INDEX(Routes!$T$6:$T$9,$C131),INDEX(Routes!$V$6:$V$9,$C131))+INDEX(Routes!$O$6:$O$9,$C131)+AO131+MIN(AC131*INDEX(Routes!$U$6:$U$9,$C131),INDEX(Routes!$W$6:$W$9,$C131))+IF(P131=1,INDEX(Routes!$N$6:$N$9,$C131)+AN131+MIN(AD131*INDEX(Routes!$T$6:$T$9,$C131),INDEX(Routes!$V$6:$V$9,$C131))+INDEX(Routes!$O$6:$O$9,$C131)+AO131+MIN(AD131*INDEX(Routes!$U$6:$U$9,$C131),INDEX(Routes!$W$6:$W$9,$C131)),0))*J131</f>
        <v>231562.2096</v>
      </c>
      <c r="AA131" s="67" t="n">
        <f aca="false">INDEX(Routes!$R$6:$R$9,$C131)+IF(P131=1,INDEX(Routes!$R$6:$R$9,$C131),INDEX(Routes!$S$6:$S$9,$C131))</f>
        <v>0</v>
      </c>
      <c r="AB131" s="67" t="n">
        <f aca="false">((R131*CO2_VLSFO+S131*CO2_MGO)*INDEX(Routes!$I$6:$I$9,$C131)+(U131*INDEX(Routes!$P$6:$P$9,$C131)+V131*INDEX(Routes!$Q$6:$Q$9,$C131))*ConsPort*CO2_MGO)*PhaseIn*K131*FX</f>
        <v>255306.830625</v>
      </c>
      <c r="AC131" s="71" t="n">
        <f aca="false">Capacity*G131</f>
        <v>30600</v>
      </c>
      <c r="AD131" s="71" t="n">
        <f aca="false">Capacity*H131</f>
        <v>18000</v>
      </c>
      <c r="AE131" s="82" t="n">
        <f aca="false">INDEX(Routes!$J$6:$J$9,$C131)*E131</f>
        <v>75</v>
      </c>
      <c r="AF131" s="82" t="n">
        <f aca="false">INDEX(Routes!$K$6:$K$9,$C131)*E131</f>
        <v>55</v>
      </c>
      <c r="AG131" s="67" t="n">
        <f aca="false">AC131*AE131+AD131*AF131</f>
        <v>3285000</v>
      </c>
      <c r="AH131" s="67" t="n">
        <f aca="false">AG131*Commission</f>
        <v>82125</v>
      </c>
      <c r="AI131" s="67" t="n">
        <f aca="false">Y131+Z131+AA131+AB131+MiscVoy</f>
        <v>2546482.790225</v>
      </c>
      <c r="AJ131" s="77" t="n">
        <f aca="false">N131+U131+V131+W131</f>
        <v>85.3240740740741</v>
      </c>
      <c r="AK131" s="94" t="n">
        <f aca="false">(AG131-AH131-AI131)/AJ131</f>
        <v>7692.93094473141</v>
      </c>
      <c r="AL131" s="67" t="n">
        <f aca="false">AG131-AH131-AI131-Benchmark*AJ131</f>
        <v>-879441.123558333</v>
      </c>
      <c r="AM131" s="82" t="n">
        <f aca="false">IF(AC131&gt;0,((Benchmark*AJ131+AI131)/(1-Commission)-AD131*AF131)/AC131,0)</f>
        <v>104.47682666527</v>
      </c>
      <c r="AN131" s="67" t="n">
        <f aca="false">LOA_ft*Port_Tariffs!$C$9*IF((INDEX(Routes!$L$6:$L$9,$C131)*INDEX(Routes!$X$6:$X$9,$C131)*F131)&lt;=2,(INDEX(Routes!$L$6:$L$9,$C131)*INDEX(Routes!$X$6:$X$9,$C131)*F131),IF((INDEX(Routes!$L$6:$L$9,$C131)*INDEX(Routes!$X$6:$X$9,$C131)*F131)&lt;=3,2+0.9*((INDEX(Routes!$L$6:$L$9,$C131)*INDEX(Routes!$X$6:$X$9,$C131)*F131)-2),IF((INDEX(Routes!$L$6:$L$9,$C131)*INDEX(Routes!$X$6:$X$9,$C131)*F131)&lt;=4,2.9+0.75*((INDEX(Routes!$L$6:$L$9,$C131)*INDEX(Routes!$X$6:$X$9,$C131)*F131)-3),IF((INDEX(Routes!$L$6:$L$9,$C131)*INDEX(Routes!$X$6:$X$9,$C131)*F131)&lt;=5,3.65+0.6*((INDEX(Routes!$L$6:$L$9,$C131)*INDEX(Routes!$X$6:$X$9,$C131)*F131)-4),4.25+0.5*((INDEX(Routes!$L$6:$L$9,$C131)*INDEX(Routes!$X$6:$X$9,$C131)*F131)-5)))))</f>
        <v>0</v>
      </c>
      <c r="AO131" s="67" t="n">
        <f aca="false">LOA_ft*Port_Tariffs!$C$9*IF((INDEX(Routes!$M$6:$M$9,$C131)*INDEX(Routes!$Y$6:$Y$9,$C131)*F131)&lt;=2,(INDEX(Routes!$M$6:$M$9,$C131)*INDEX(Routes!$Y$6:$Y$9,$C131)*F131),IF((INDEX(Routes!$M$6:$M$9,$C131)*INDEX(Routes!$Y$6:$Y$9,$C131)*F131)&lt;=3,2+0.9*((INDEX(Routes!$M$6:$M$9,$C131)*INDEX(Routes!$Y$6:$Y$9,$C131)*F131)-2),IF((INDEX(Routes!$M$6:$M$9,$C131)*INDEX(Routes!$Y$6:$Y$9,$C131)*F131)&lt;=4,2.9+0.75*((INDEX(Routes!$M$6:$M$9,$C131)*INDEX(Routes!$Y$6:$Y$9,$C131)*F131)-3),IF((INDEX(Routes!$M$6:$M$9,$C131)*INDEX(Routes!$Y$6:$Y$9,$C131)*F131)&lt;=5,3.65+0.6*((INDEX(Routes!$M$6:$M$9,$C131)*INDEX(Routes!$Y$6:$Y$9,$C131)*F131)-4),4.25+0.5*((INDEX(Routes!$M$6:$M$9,$C131)*INDEX(Routes!$Y$6:$Y$9,$C131)*F131)-5)))))</f>
        <v>0</v>
      </c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customFormat="false" ht="15" hidden="false" customHeight="false" outlineLevel="0" collapsed="false">
      <c r="A133" s="18" t="s">
        <v>628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customFormat="false" ht="15" hidden="false" customHeight="false" outlineLevel="0" collapsed="false">
      <c r="A134" s="2" t="s">
        <v>629</v>
      </c>
      <c r="B134" s="2" t="s">
        <v>630</v>
      </c>
      <c r="C134" s="16" t="n">
        <f aca="false">Sw_Route</f>
        <v>1</v>
      </c>
      <c r="D134" s="70" t="n">
        <v>60</v>
      </c>
      <c r="E134" s="92" t="n">
        <v>0.8</v>
      </c>
      <c r="F134" s="88" t="n">
        <f aca="false">PortMult</f>
        <v>1</v>
      </c>
      <c r="G134" s="89" t="n">
        <f aca="false">UtilFH</f>
        <v>0.85</v>
      </c>
      <c r="H134" s="89" t="n">
        <f aca="false">UtilBH</f>
        <v>0.5</v>
      </c>
      <c r="I134" s="90" t="n">
        <f aca="false">Speed</f>
        <v>13.5</v>
      </c>
      <c r="J134" s="88" t="n">
        <f aca="false">PortCostMult</f>
        <v>1</v>
      </c>
      <c r="K134" s="90" t="n">
        <f aca="false">EUA</f>
        <v>75</v>
      </c>
      <c r="L134" s="71" t="n">
        <f aca="false">INDEX(Routes!$E$6:$E$9,$C134)</f>
        <v>5000</v>
      </c>
      <c r="M134" s="72" t="n">
        <f aca="false">INDEX(Routes!$F$6:$F$9,$C134)/L134</f>
        <v>0.13</v>
      </c>
      <c r="N134" s="77" t="n">
        <f aca="false">2*L134*(1+SeaMargin)/(I134*24)</f>
        <v>32.4074074074074</v>
      </c>
      <c r="O134" s="84" t="n">
        <f aca="false">(I134/RefSpeed)^SpeedExp</f>
        <v>1</v>
      </c>
      <c r="P134" s="2" t="n">
        <f aca="false">IF(H134&gt;0,1,0)</f>
        <v>1</v>
      </c>
      <c r="Q134" s="71" t="n">
        <f aca="false">N134/2*O134*(ConsLaden+IF(P134=1,ConsLaden,ConsBallast))</f>
        <v>875</v>
      </c>
      <c r="R134" s="71" t="n">
        <f aca="false">Q134*(1-M134)</f>
        <v>761.25</v>
      </c>
      <c r="S134" s="71" t="n">
        <f aca="false">Q134*M134</f>
        <v>113.75</v>
      </c>
      <c r="T134" s="2" t="n">
        <f aca="false">1+P134</f>
        <v>2</v>
      </c>
      <c r="U134" s="77" t="n">
        <f aca="false">INDEX(Routes!$L$6:$L$9,$C134)*T134*F134</f>
        <v>10</v>
      </c>
      <c r="V134" s="77" t="n">
        <f aca="false">INDEX(Routes!$M$6:$M$9,$C134)*T134*F134</f>
        <v>7</v>
      </c>
      <c r="W134" s="77" t="n">
        <f aca="false">INDEX(Routes!$H$6:$H$9,$C134)*2</f>
        <v>0</v>
      </c>
      <c r="X134" s="71" t="n">
        <f aca="false">(U134+V134+W134)*ConsPort</f>
        <v>102</v>
      </c>
      <c r="Y134" s="67" t="n">
        <f aca="false">R134*D134*VLSFO_Mult+(S134+X134)*D134*MGO_Mult</f>
        <v>477264</v>
      </c>
      <c r="Z134" s="67" t="n">
        <f aca="false">(INDEX(Routes!$N$6:$N$9,$C134)+AN134+MIN(AC134*INDEX(Routes!$T$6:$T$9,$C134),INDEX(Routes!$V$6:$V$9,$C134))+INDEX(Routes!$O$6:$O$9,$C134)+AO134+MIN(AC134*INDEX(Routes!$U$6:$U$9,$C134),INDEX(Routes!$W$6:$W$9,$C134))+IF(P134=1,INDEX(Routes!$N$6:$N$9,$C134)+AN134+MIN(AD134*INDEX(Routes!$T$6:$T$9,$C134),INDEX(Routes!$V$6:$V$9,$C134))+INDEX(Routes!$O$6:$O$9,$C134)+AO134+MIN(AD134*INDEX(Routes!$U$6:$U$9,$C134),INDEX(Routes!$W$6:$W$9,$C134)),0))*J134</f>
        <v>252304.2096</v>
      </c>
      <c r="AA134" s="67" t="n">
        <f aca="false">INDEX(Routes!$R$6:$R$9,$C134)+IF(P134=1,INDEX(Routes!$R$6:$R$9,$C134),INDEX(Routes!$S$6:$S$9,$C134))</f>
        <v>0</v>
      </c>
      <c r="AB134" s="67" t="n">
        <f aca="false">((R134*CO2_VLSFO+S134*CO2_MGO)*INDEX(Routes!$I$6:$I$9,$C134)+(U134*INDEX(Routes!$P$6:$P$9,$C134)+V134*INDEX(Routes!$Q$6:$Q$9,$C134))*ConsPort*CO2_MGO)*PhaseIn*K134*FX</f>
        <v>123936.40875</v>
      </c>
      <c r="AC134" s="71" t="n">
        <f aca="false">Capacity*G134</f>
        <v>30600</v>
      </c>
      <c r="AD134" s="71" t="n">
        <f aca="false">Capacity*H134</f>
        <v>18000</v>
      </c>
      <c r="AE134" s="82" t="n">
        <f aca="false">INDEX(Routes!$J$6:$J$9,$C134)*E134</f>
        <v>41.6</v>
      </c>
      <c r="AF134" s="82" t="n">
        <f aca="false">INDEX(Routes!$K$6:$K$9,$C134)*E134</f>
        <v>30.4</v>
      </c>
      <c r="AG134" s="67" t="n">
        <f aca="false">AC134*AE134+AD134*AF134</f>
        <v>1820160</v>
      </c>
      <c r="AH134" s="67" t="n">
        <f aca="false">AG134*Commission</f>
        <v>45504</v>
      </c>
      <c r="AI134" s="67" t="n">
        <f aca="false">Y134+Z134+AA134+AB134+MiscVoy</f>
        <v>878504.61835</v>
      </c>
      <c r="AJ134" s="77" t="n">
        <f aca="false">N134+U134+V134+W134</f>
        <v>49.4074074074074</v>
      </c>
      <c r="AK134" s="94" t="n">
        <f aca="false">(AG134-AH134-AI134)/AJ134</f>
        <v>18137.9964801724</v>
      </c>
      <c r="AL134" s="67" t="n">
        <f aca="false">AG134-AH134-AI134-Benchmark*AJ134</f>
        <v>6818.04831666686</v>
      </c>
      <c r="AM134" s="82" t="n">
        <f aca="false">IF(AC134&gt;0,((Benchmark*AJ134+AI134)/(1-Commission)-AD134*AF134)/AC134,0)</f>
        <v>41.3714748343668</v>
      </c>
      <c r="AN134" s="67" t="n">
        <f aca="false">LOA_ft*Port_Tariffs!$C$9*IF((INDEX(Routes!$L$6:$L$9,$C134)*INDEX(Routes!$X$6:$X$9,$C134)*F134)&lt;=2,(INDEX(Routes!$L$6:$L$9,$C134)*INDEX(Routes!$X$6:$X$9,$C134)*F134),IF((INDEX(Routes!$L$6:$L$9,$C134)*INDEX(Routes!$X$6:$X$9,$C134)*F134)&lt;=3,2+0.9*((INDEX(Routes!$L$6:$L$9,$C134)*INDEX(Routes!$X$6:$X$9,$C134)*F134)-2),IF((INDEX(Routes!$L$6:$L$9,$C134)*INDEX(Routes!$X$6:$X$9,$C134)*F134)&lt;=4,2.9+0.75*((INDEX(Routes!$L$6:$L$9,$C134)*INDEX(Routes!$X$6:$X$9,$C134)*F134)-3),IF((INDEX(Routes!$L$6:$L$9,$C134)*INDEX(Routes!$X$6:$X$9,$C134)*F134)&lt;=5,3.65+0.6*((INDEX(Routes!$L$6:$L$9,$C134)*INDEX(Routes!$X$6:$X$9,$C134)*F134)-4),4.25+0.5*((INDEX(Routes!$L$6:$L$9,$C134)*INDEX(Routes!$X$6:$X$9,$C134)*F134)-5)))))</f>
        <v>19557.6</v>
      </c>
      <c r="AO134" s="67" t="n">
        <f aca="false">LOA_ft*Port_Tariffs!$C$9*IF((INDEX(Routes!$M$6:$M$9,$C134)*INDEX(Routes!$Y$6:$Y$9,$C134)*F134)&lt;=2,(INDEX(Routes!$M$6:$M$9,$C134)*INDEX(Routes!$Y$6:$Y$9,$C134)*F134),IF((INDEX(Routes!$M$6:$M$9,$C134)*INDEX(Routes!$Y$6:$Y$9,$C134)*F134)&lt;=3,2+0.9*((INDEX(Routes!$M$6:$M$9,$C134)*INDEX(Routes!$Y$6:$Y$9,$C134)*F134)-2),IF((INDEX(Routes!$M$6:$M$9,$C134)*INDEX(Routes!$Y$6:$Y$9,$C134)*F134)&lt;=4,2.9+0.75*((INDEX(Routes!$M$6:$M$9,$C134)*INDEX(Routes!$Y$6:$Y$9,$C134)*F134)-3),IF((INDEX(Routes!$M$6:$M$9,$C134)*INDEX(Routes!$Y$6:$Y$9,$C134)*F134)&lt;=5,3.65+0.6*((INDEX(Routes!$M$6:$M$9,$C134)*INDEX(Routes!$Y$6:$Y$9,$C134)*F134)-4),4.25+0.5*((INDEX(Routes!$M$6:$M$9,$C134)*INDEX(Routes!$Y$6:$Y$9,$C134)*F134)-5)))))</f>
        <v>0</v>
      </c>
    </row>
    <row r="135" customFormat="false" ht="15" hidden="false" customHeight="false" outlineLevel="0" collapsed="false">
      <c r="A135" s="2" t="s">
        <v>631</v>
      </c>
      <c r="B135" s="2" t="s">
        <v>630</v>
      </c>
      <c r="C135" s="16" t="n">
        <f aca="false">Sw_Route</f>
        <v>1</v>
      </c>
      <c r="D135" s="70" t="n">
        <v>70</v>
      </c>
      <c r="E135" s="92" t="n">
        <v>0.8</v>
      </c>
      <c r="F135" s="88" t="n">
        <f aca="false">PortMult</f>
        <v>1</v>
      </c>
      <c r="G135" s="89" t="n">
        <f aca="false">UtilFH</f>
        <v>0.85</v>
      </c>
      <c r="H135" s="89" t="n">
        <f aca="false">UtilBH</f>
        <v>0.5</v>
      </c>
      <c r="I135" s="90" t="n">
        <f aca="false">Speed</f>
        <v>13.5</v>
      </c>
      <c r="J135" s="88" t="n">
        <f aca="false">PortCostMult</f>
        <v>1</v>
      </c>
      <c r="K135" s="90" t="n">
        <f aca="false">EUA</f>
        <v>75</v>
      </c>
      <c r="L135" s="71" t="n">
        <f aca="false">INDEX(Routes!$E$6:$E$9,$C135)</f>
        <v>5000</v>
      </c>
      <c r="M135" s="72" t="n">
        <f aca="false">INDEX(Routes!$F$6:$F$9,$C135)/L135</f>
        <v>0.13</v>
      </c>
      <c r="N135" s="77" t="n">
        <f aca="false">2*L135*(1+SeaMargin)/(I135*24)</f>
        <v>32.4074074074074</v>
      </c>
      <c r="O135" s="84" t="n">
        <f aca="false">(I135/RefSpeed)^SpeedExp</f>
        <v>1</v>
      </c>
      <c r="P135" s="2" t="n">
        <f aca="false">IF(H135&gt;0,1,0)</f>
        <v>1</v>
      </c>
      <c r="Q135" s="71" t="n">
        <f aca="false">N135/2*O135*(ConsLaden+IF(P135=1,ConsLaden,ConsBallast))</f>
        <v>875</v>
      </c>
      <c r="R135" s="71" t="n">
        <f aca="false">Q135*(1-M135)</f>
        <v>761.25</v>
      </c>
      <c r="S135" s="71" t="n">
        <f aca="false">Q135*M135</f>
        <v>113.75</v>
      </c>
      <c r="T135" s="2" t="n">
        <f aca="false">1+P135</f>
        <v>2</v>
      </c>
      <c r="U135" s="77" t="n">
        <f aca="false">INDEX(Routes!$L$6:$L$9,$C135)*T135*F135</f>
        <v>10</v>
      </c>
      <c r="V135" s="77" t="n">
        <f aca="false">INDEX(Routes!$M$6:$M$9,$C135)*T135*F135</f>
        <v>7</v>
      </c>
      <c r="W135" s="77" t="n">
        <f aca="false">INDEX(Routes!$H$6:$H$9,$C135)*2</f>
        <v>0</v>
      </c>
      <c r="X135" s="71" t="n">
        <f aca="false">(U135+V135+W135)*ConsPort</f>
        <v>102</v>
      </c>
      <c r="Y135" s="67" t="n">
        <f aca="false">R135*D135*VLSFO_Mult+(S135+X135)*D135*MGO_Mult</f>
        <v>556808</v>
      </c>
      <c r="Z135" s="67" t="n">
        <f aca="false">(INDEX(Routes!$N$6:$N$9,$C135)+AN135+MIN(AC135*INDEX(Routes!$T$6:$T$9,$C135),INDEX(Routes!$V$6:$V$9,$C135))+INDEX(Routes!$O$6:$O$9,$C135)+AO135+MIN(AC135*INDEX(Routes!$U$6:$U$9,$C135),INDEX(Routes!$W$6:$W$9,$C135))+IF(P135=1,INDEX(Routes!$N$6:$N$9,$C135)+AN135+MIN(AD135*INDEX(Routes!$T$6:$T$9,$C135),INDEX(Routes!$V$6:$V$9,$C135))+INDEX(Routes!$O$6:$O$9,$C135)+AO135+MIN(AD135*INDEX(Routes!$U$6:$U$9,$C135),INDEX(Routes!$W$6:$W$9,$C135)),0))*J135</f>
        <v>252304.2096</v>
      </c>
      <c r="AA135" s="67" t="n">
        <f aca="false">INDEX(Routes!$R$6:$R$9,$C135)+IF(P135=1,INDEX(Routes!$R$6:$R$9,$C135),INDEX(Routes!$S$6:$S$9,$C135))</f>
        <v>0</v>
      </c>
      <c r="AB135" s="67" t="n">
        <f aca="false">((R135*CO2_VLSFO+S135*CO2_MGO)*INDEX(Routes!$I$6:$I$9,$C135)+(U135*INDEX(Routes!$P$6:$P$9,$C135)+V135*INDEX(Routes!$Q$6:$Q$9,$C135))*ConsPort*CO2_MGO)*PhaseIn*K135*FX</f>
        <v>123936.40875</v>
      </c>
      <c r="AC135" s="71" t="n">
        <f aca="false">Capacity*G135</f>
        <v>30600</v>
      </c>
      <c r="AD135" s="71" t="n">
        <f aca="false">Capacity*H135</f>
        <v>18000</v>
      </c>
      <c r="AE135" s="82" t="n">
        <f aca="false">INDEX(Routes!$J$6:$J$9,$C135)*E135</f>
        <v>41.6</v>
      </c>
      <c r="AF135" s="82" t="n">
        <f aca="false">INDEX(Routes!$K$6:$K$9,$C135)*E135</f>
        <v>30.4</v>
      </c>
      <c r="AG135" s="67" t="n">
        <f aca="false">AC135*AE135+AD135*AF135</f>
        <v>1820160</v>
      </c>
      <c r="AH135" s="67" t="n">
        <f aca="false">AG135*Commission</f>
        <v>45504</v>
      </c>
      <c r="AI135" s="67" t="n">
        <f aca="false">Y135+Z135+AA135+AB135+MiscVoy</f>
        <v>958048.61835</v>
      </c>
      <c r="AJ135" s="77" t="n">
        <f aca="false">N135+U135+V135+W135</f>
        <v>49.4074074074074</v>
      </c>
      <c r="AK135" s="94" t="n">
        <f aca="false">(AG135-AH135-AI135)/AJ135</f>
        <v>16528.0354606822</v>
      </c>
      <c r="AL135" s="67" t="n">
        <f aca="false">AG135-AH135-AI135-Benchmark*AJ135</f>
        <v>-72725.9516833331</v>
      </c>
      <c r="AM135" s="82" t="n">
        <f aca="false">IF(AC135&gt;0,((Benchmark*AJ135+AI135)/(1-Commission)-AD135*AF135)/AC135,0)</f>
        <v>44.0376052181442</v>
      </c>
      <c r="AN135" s="67" t="n">
        <f aca="false">LOA_ft*Port_Tariffs!$C$9*IF((INDEX(Routes!$L$6:$L$9,$C135)*INDEX(Routes!$X$6:$X$9,$C135)*F135)&lt;=2,(INDEX(Routes!$L$6:$L$9,$C135)*INDEX(Routes!$X$6:$X$9,$C135)*F135),IF((INDEX(Routes!$L$6:$L$9,$C135)*INDEX(Routes!$X$6:$X$9,$C135)*F135)&lt;=3,2+0.9*((INDEX(Routes!$L$6:$L$9,$C135)*INDEX(Routes!$X$6:$X$9,$C135)*F135)-2),IF((INDEX(Routes!$L$6:$L$9,$C135)*INDEX(Routes!$X$6:$X$9,$C135)*F135)&lt;=4,2.9+0.75*((INDEX(Routes!$L$6:$L$9,$C135)*INDEX(Routes!$X$6:$X$9,$C135)*F135)-3),IF((INDEX(Routes!$L$6:$L$9,$C135)*INDEX(Routes!$X$6:$X$9,$C135)*F135)&lt;=5,3.65+0.6*((INDEX(Routes!$L$6:$L$9,$C135)*INDEX(Routes!$X$6:$X$9,$C135)*F135)-4),4.25+0.5*((INDEX(Routes!$L$6:$L$9,$C135)*INDEX(Routes!$X$6:$X$9,$C135)*F135)-5)))))</f>
        <v>19557.6</v>
      </c>
      <c r="AO135" s="67" t="n">
        <f aca="false">LOA_ft*Port_Tariffs!$C$9*IF((INDEX(Routes!$M$6:$M$9,$C135)*INDEX(Routes!$Y$6:$Y$9,$C135)*F135)&lt;=2,(INDEX(Routes!$M$6:$M$9,$C135)*INDEX(Routes!$Y$6:$Y$9,$C135)*F135),IF((INDEX(Routes!$M$6:$M$9,$C135)*INDEX(Routes!$Y$6:$Y$9,$C135)*F135)&lt;=3,2+0.9*((INDEX(Routes!$M$6:$M$9,$C135)*INDEX(Routes!$Y$6:$Y$9,$C135)*F135)-2),IF((INDEX(Routes!$M$6:$M$9,$C135)*INDEX(Routes!$Y$6:$Y$9,$C135)*F135)&lt;=4,2.9+0.75*((INDEX(Routes!$M$6:$M$9,$C135)*INDEX(Routes!$Y$6:$Y$9,$C135)*F135)-3),IF((INDEX(Routes!$M$6:$M$9,$C135)*INDEX(Routes!$Y$6:$Y$9,$C135)*F135)&lt;=5,3.65+0.6*((INDEX(Routes!$M$6:$M$9,$C135)*INDEX(Routes!$Y$6:$Y$9,$C135)*F135)-4),4.25+0.5*((INDEX(Routes!$M$6:$M$9,$C135)*INDEX(Routes!$Y$6:$Y$9,$C135)*F135)-5)))))</f>
        <v>0</v>
      </c>
    </row>
    <row r="136" customFormat="false" ht="15" hidden="false" customHeight="false" outlineLevel="0" collapsed="false">
      <c r="A136" s="2" t="s">
        <v>632</v>
      </c>
      <c r="B136" s="2" t="s">
        <v>630</v>
      </c>
      <c r="C136" s="16" t="n">
        <f aca="false">Sw_Route</f>
        <v>1</v>
      </c>
      <c r="D136" s="70" t="n">
        <v>80</v>
      </c>
      <c r="E136" s="92" t="n">
        <v>0.8</v>
      </c>
      <c r="F136" s="88" t="n">
        <f aca="false">PortMult</f>
        <v>1</v>
      </c>
      <c r="G136" s="89" t="n">
        <f aca="false">UtilFH</f>
        <v>0.85</v>
      </c>
      <c r="H136" s="89" t="n">
        <f aca="false">UtilBH</f>
        <v>0.5</v>
      </c>
      <c r="I136" s="90" t="n">
        <f aca="false">Speed</f>
        <v>13.5</v>
      </c>
      <c r="J136" s="88" t="n">
        <f aca="false">PortCostMult</f>
        <v>1</v>
      </c>
      <c r="K136" s="90" t="n">
        <f aca="false">EUA</f>
        <v>75</v>
      </c>
      <c r="L136" s="71" t="n">
        <f aca="false">INDEX(Routes!$E$6:$E$9,$C136)</f>
        <v>5000</v>
      </c>
      <c r="M136" s="72" t="n">
        <f aca="false">INDEX(Routes!$F$6:$F$9,$C136)/L136</f>
        <v>0.13</v>
      </c>
      <c r="N136" s="77" t="n">
        <f aca="false">2*L136*(1+SeaMargin)/(I136*24)</f>
        <v>32.4074074074074</v>
      </c>
      <c r="O136" s="84" t="n">
        <f aca="false">(I136/RefSpeed)^SpeedExp</f>
        <v>1</v>
      </c>
      <c r="P136" s="2" t="n">
        <f aca="false">IF(H136&gt;0,1,0)</f>
        <v>1</v>
      </c>
      <c r="Q136" s="71" t="n">
        <f aca="false">N136/2*O136*(ConsLaden+IF(P136=1,ConsLaden,ConsBallast))</f>
        <v>875</v>
      </c>
      <c r="R136" s="71" t="n">
        <f aca="false">Q136*(1-M136)</f>
        <v>761.25</v>
      </c>
      <c r="S136" s="71" t="n">
        <f aca="false">Q136*M136</f>
        <v>113.75</v>
      </c>
      <c r="T136" s="2" t="n">
        <f aca="false">1+P136</f>
        <v>2</v>
      </c>
      <c r="U136" s="77" t="n">
        <f aca="false">INDEX(Routes!$L$6:$L$9,$C136)*T136*F136</f>
        <v>10</v>
      </c>
      <c r="V136" s="77" t="n">
        <f aca="false">INDEX(Routes!$M$6:$M$9,$C136)*T136*F136</f>
        <v>7</v>
      </c>
      <c r="W136" s="77" t="n">
        <f aca="false">INDEX(Routes!$H$6:$H$9,$C136)*2</f>
        <v>0</v>
      </c>
      <c r="X136" s="71" t="n">
        <f aca="false">(U136+V136+W136)*ConsPort</f>
        <v>102</v>
      </c>
      <c r="Y136" s="67" t="n">
        <f aca="false">R136*D136*VLSFO_Mult+(S136+X136)*D136*MGO_Mult</f>
        <v>636352</v>
      </c>
      <c r="Z136" s="67" t="n">
        <f aca="false">(INDEX(Routes!$N$6:$N$9,$C136)+AN136+MIN(AC136*INDEX(Routes!$T$6:$T$9,$C136),INDEX(Routes!$V$6:$V$9,$C136))+INDEX(Routes!$O$6:$O$9,$C136)+AO136+MIN(AC136*INDEX(Routes!$U$6:$U$9,$C136),INDEX(Routes!$W$6:$W$9,$C136))+IF(P136=1,INDEX(Routes!$N$6:$N$9,$C136)+AN136+MIN(AD136*INDEX(Routes!$T$6:$T$9,$C136),INDEX(Routes!$V$6:$V$9,$C136))+INDEX(Routes!$O$6:$O$9,$C136)+AO136+MIN(AD136*INDEX(Routes!$U$6:$U$9,$C136),INDEX(Routes!$W$6:$W$9,$C136)),0))*J136</f>
        <v>252304.2096</v>
      </c>
      <c r="AA136" s="67" t="n">
        <f aca="false">INDEX(Routes!$R$6:$R$9,$C136)+IF(P136=1,INDEX(Routes!$R$6:$R$9,$C136),INDEX(Routes!$S$6:$S$9,$C136))</f>
        <v>0</v>
      </c>
      <c r="AB136" s="67" t="n">
        <f aca="false">((R136*CO2_VLSFO+S136*CO2_MGO)*INDEX(Routes!$I$6:$I$9,$C136)+(U136*INDEX(Routes!$P$6:$P$9,$C136)+V136*INDEX(Routes!$Q$6:$Q$9,$C136))*ConsPort*CO2_MGO)*PhaseIn*K136*FX</f>
        <v>123936.40875</v>
      </c>
      <c r="AC136" s="71" t="n">
        <f aca="false">Capacity*G136</f>
        <v>30600</v>
      </c>
      <c r="AD136" s="71" t="n">
        <f aca="false">Capacity*H136</f>
        <v>18000</v>
      </c>
      <c r="AE136" s="82" t="n">
        <f aca="false">INDEX(Routes!$J$6:$J$9,$C136)*E136</f>
        <v>41.6</v>
      </c>
      <c r="AF136" s="82" t="n">
        <f aca="false">INDEX(Routes!$K$6:$K$9,$C136)*E136</f>
        <v>30.4</v>
      </c>
      <c r="AG136" s="67" t="n">
        <f aca="false">AC136*AE136+AD136*AF136</f>
        <v>1820160</v>
      </c>
      <c r="AH136" s="67" t="n">
        <f aca="false">AG136*Commission</f>
        <v>45504</v>
      </c>
      <c r="AI136" s="67" t="n">
        <f aca="false">Y136+Z136+AA136+AB136+MiscVoy</f>
        <v>1037592.61835</v>
      </c>
      <c r="AJ136" s="77" t="n">
        <f aca="false">N136+U136+V136+W136</f>
        <v>49.4074074074074</v>
      </c>
      <c r="AK136" s="94" t="n">
        <f aca="false">(AG136-AH136-AI136)/AJ136</f>
        <v>14918.0744411919</v>
      </c>
      <c r="AL136" s="67" t="n">
        <f aca="false">AG136-AH136-AI136-Benchmark*AJ136</f>
        <v>-152269.951683333</v>
      </c>
      <c r="AM136" s="82" t="n">
        <f aca="false">IF(AC136&gt;0,((Benchmark*AJ136+AI136)/(1-Commission)-AD136*AF136)/AC136,0)</f>
        <v>46.7037356019217</v>
      </c>
      <c r="AN136" s="67" t="n">
        <f aca="false">LOA_ft*Port_Tariffs!$C$9*IF((INDEX(Routes!$L$6:$L$9,$C136)*INDEX(Routes!$X$6:$X$9,$C136)*F136)&lt;=2,(INDEX(Routes!$L$6:$L$9,$C136)*INDEX(Routes!$X$6:$X$9,$C136)*F136),IF((INDEX(Routes!$L$6:$L$9,$C136)*INDEX(Routes!$X$6:$X$9,$C136)*F136)&lt;=3,2+0.9*((INDEX(Routes!$L$6:$L$9,$C136)*INDEX(Routes!$X$6:$X$9,$C136)*F136)-2),IF((INDEX(Routes!$L$6:$L$9,$C136)*INDEX(Routes!$X$6:$X$9,$C136)*F136)&lt;=4,2.9+0.75*((INDEX(Routes!$L$6:$L$9,$C136)*INDEX(Routes!$X$6:$X$9,$C136)*F136)-3),IF((INDEX(Routes!$L$6:$L$9,$C136)*INDEX(Routes!$X$6:$X$9,$C136)*F136)&lt;=5,3.65+0.6*((INDEX(Routes!$L$6:$L$9,$C136)*INDEX(Routes!$X$6:$X$9,$C136)*F136)-4),4.25+0.5*((INDEX(Routes!$L$6:$L$9,$C136)*INDEX(Routes!$X$6:$X$9,$C136)*F136)-5)))))</f>
        <v>19557.6</v>
      </c>
      <c r="AO136" s="67" t="n">
        <f aca="false">LOA_ft*Port_Tariffs!$C$9*IF((INDEX(Routes!$M$6:$M$9,$C136)*INDEX(Routes!$Y$6:$Y$9,$C136)*F136)&lt;=2,(INDEX(Routes!$M$6:$M$9,$C136)*INDEX(Routes!$Y$6:$Y$9,$C136)*F136),IF((INDEX(Routes!$M$6:$M$9,$C136)*INDEX(Routes!$Y$6:$Y$9,$C136)*F136)&lt;=3,2+0.9*((INDEX(Routes!$M$6:$M$9,$C136)*INDEX(Routes!$Y$6:$Y$9,$C136)*F136)-2),IF((INDEX(Routes!$M$6:$M$9,$C136)*INDEX(Routes!$Y$6:$Y$9,$C136)*F136)&lt;=4,2.9+0.75*((INDEX(Routes!$M$6:$M$9,$C136)*INDEX(Routes!$Y$6:$Y$9,$C136)*F136)-3),IF((INDEX(Routes!$M$6:$M$9,$C136)*INDEX(Routes!$Y$6:$Y$9,$C136)*F136)&lt;=5,3.65+0.6*((INDEX(Routes!$M$6:$M$9,$C136)*INDEX(Routes!$Y$6:$Y$9,$C136)*F136)-4),4.25+0.5*((INDEX(Routes!$M$6:$M$9,$C136)*INDEX(Routes!$Y$6:$Y$9,$C136)*F136)-5)))))</f>
        <v>0</v>
      </c>
    </row>
    <row r="137" customFormat="false" ht="15" hidden="false" customHeight="false" outlineLevel="0" collapsed="false">
      <c r="A137" s="2" t="s">
        <v>633</v>
      </c>
      <c r="B137" s="2" t="s">
        <v>630</v>
      </c>
      <c r="C137" s="16" t="n">
        <f aca="false">Sw_Route</f>
        <v>1</v>
      </c>
      <c r="D137" s="70" t="n">
        <v>90</v>
      </c>
      <c r="E137" s="92" t="n">
        <v>0.8</v>
      </c>
      <c r="F137" s="88" t="n">
        <f aca="false">PortMult</f>
        <v>1</v>
      </c>
      <c r="G137" s="89" t="n">
        <f aca="false">UtilFH</f>
        <v>0.85</v>
      </c>
      <c r="H137" s="89" t="n">
        <f aca="false">UtilBH</f>
        <v>0.5</v>
      </c>
      <c r="I137" s="90" t="n">
        <f aca="false">Speed</f>
        <v>13.5</v>
      </c>
      <c r="J137" s="88" t="n">
        <f aca="false">PortCostMult</f>
        <v>1</v>
      </c>
      <c r="K137" s="90" t="n">
        <f aca="false">EUA</f>
        <v>75</v>
      </c>
      <c r="L137" s="71" t="n">
        <f aca="false">INDEX(Routes!$E$6:$E$9,$C137)</f>
        <v>5000</v>
      </c>
      <c r="M137" s="72" t="n">
        <f aca="false">INDEX(Routes!$F$6:$F$9,$C137)/L137</f>
        <v>0.13</v>
      </c>
      <c r="N137" s="77" t="n">
        <f aca="false">2*L137*(1+SeaMargin)/(I137*24)</f>
        <v>32.4074074074074</v>
      </c>
      <c r="O137" s="84" t="n">
        <f aca="false">(I137/RefSpeed)^SpeedExp</f>
        <v>1</v>
      </c>
      <c r="P137" s="2" t="n">
        <f aca="false">IF(H137&gt;0,1,0)</f>
        <v>1</v>
      </c>
      <c r="Q137" s="71" t="n">
        <f aca="false">N137/2*O137*(ConsLaden+IF(P137=1,ConsLaden,ConsBallast))</f>
        <v>875</v>
      </c>
      <c r="R137" s="71" t="n">
        <f aca="false">Q137*(1-M137)</f>
        <v>761.25</v>
      </c>
      <c r="S137" s="71" t="n">
        <f aca="false">Q137*M137</f>
        <v>113.75</v>
      </c>
      <c r="T137" s="2" t="n">
        <f aca="false">1+P137</f>
        <v>2</v>
      </c>
      <c r="U137" s="77" t="n">
        <f aca="false">INDEX(Routes!$L$6:$L$9,$C137)*T137*F137</f>
        <v>10</v>
      </c>
      <c r="V137" s="77" t="n">
        <f aca="false">INDEX(Routes!$M$6:$M$9,$C137)*T137*F137</f>
        <v>7</v>
      </c>
      <c r="W137" s="77" t="n">
        <f aca="false">INDEX(Routes!$H$6:$H$9,$C137)*2</f>
        <v>0</v>
      </c>
      <c r="X137" s="71" t="n">
        <f aca="false">(U137+V137+W137)*ConsPort</f>
        <v>102</v>
      </c>
      <c r="Y137" s="67" t="n">
        <f aca="false">R137*D137*VLSFO_Mult+(S137+X137)*D137*MGO_Mult</f>
        <v>715896</v>
      </c>
      <c r="Z137" s="67" t="n">
        <f aca="false">(INDEX(Routes!$N$6:$N$9,$C137)+AN137+MIN(AC137*INDEX(Routes!$T$6:$T$9,$C137),INDEX(Routes!$V$6:$V$9,$C137))+INDEX(Routes!$O$6:$O$9,$C137)+AO137+MIN(AC137*INDEX(Routes!$U$6:$U$9,$C137),INDEX(Routes!$W$6:$W$9,$C137))+IF(P137=1,INDEX(Routes!$N$6:$N$9,$C137)+AN137+MIN(AD137*INDEX(Routes!$T$6:$T$9,$C137),INDEX(Routes!$V$6:$V$9,$C137))+INDEX(Routes!$O$6:$O$9,$C137)+AO137+MIN(AD137*INDEX(Routes!$U$6:$U$9,$C137),INDEX(Routes!$W$6:$W$9,$C137)),0))*J137</f>
        <v>252304.2096</v>
      </c>
      <c r="AA137" s="67" t="n">
        <f aca="false">INDEX(Routes!$R$6:$R$9,$C137)+IF(P137=1,INDEX(Routes!$R$6:$R$9,$C137),INDEX(Routes!$S$6:$S$9,$C137))</f>
        <v>0</v>
      </c>
      <c r="AB137" s="67" t="n">
        <f aca="false">((R137*CO2_VLSFO+S137*CO2_MGO)*INDEX(Routes!$I$6:$I$9,$C137)+(U137*INDEX(Routes!$P$6:$P$9,$C137)+V137*INDEX(Routes!$Q$6:$Q$9,$C137))*ConsPort*CO2_MGO)*PhaseIn*K137*FX</f>
        <v>123936.40875</v>
      </c>
      <c r="AC137" s="71" t="n">
        <f aca="false">Capacity*G137</f>
        <v>30600</v>
      </c>
      <c r="AD137" s="71" t="n">
        <f aca="false">Capacity*H137</f>
        <v>18000</v>
      </c>
      <c r="AE137" s="82" t="n">
        <f aca="false">INDEX(Routes!$J$6:$J$9,$C137)*E137</f>
        <v>41.6</v>
      </c>
      <c r="AF137" s="82" t="n">
        <f aca="false">INDEX(Routes!$K$6:$K$9,$C137)*E137</f>
        <v>30.4</v>
      </c>
      <c r="AG137" s="67" t="n">
        <f aca="false">AC137*AE137+AD137*AF137</f>
        <v>1820160</v>
      </c>
      <c r="AH137" s="67" t="n">
        <f aca="false">AG137*Commission</f>
        <v>45504</v>
      </c>
      <c r="AI137" s="67" t="n">
        <f aca="false">Y137+Z137+AA137+AB137+MiscVoy</f>
        <v>1117136.61835</v>
      </c>
      <c r="AJ137" s="77" t="n">
        <f aca="false">N137+U137+V137+W137</f>
        <v>49.4074074074074</v>
      </c>
      <c r="AK137" s="94" t="n">
        <f aca="false">(AG137-AH137-AI137)/AJ137</f>
        <v>13308.1134217017</v>
      </c>
      <c r="AL137" s="67" t="n">
        <f aca="false">AG137-AH137-AI137-Benchmark*AJ137</f>
        <v>-231813.951683333</v>
      </c>
      <c r="AM137" s="82" t="n">
        <f aca="false">IF(AC137&gt;0,((Benchmark*AJ137+AI137)/(1-Commission)-AD137*AF137)/AC137,0)</f>
        <v>49.3698659856991</v>
      </c>
      <c r="AN137" s="67" t="n">
        <f aca="false">LOA_ft*Port_Tariffs!$C$9*IF((INDEX(Routes!$L$6:$L$9,$C137)*INDEX(Routes!$X$6:$X$9,$C137)*F137)&lt;=2,(INDEX(Routes!$L$6:$L$9,$C137)*INDEX(Routes!$X$6:$X$9,$C137)*F137),IF((INDEX(Routes!$L$6:$L$9,$C137)*INDEX(Routes!$X$6:$X$9,$C137)*F137)&lt;=3,2+0.9*((INDEX(Routes!$L$6:$L$9,$C137)*INDEX(Routes!$X$6:$X$9,$C137)*F137)-2),IF((INDEX(Routes!$L$6:$L$9,$C137)*INDEX(Routes!$X$6:$X$9,$C137)*F137)&lt;=4,2.9+0.75*((INDEX(Routes!$L$6:$L$9,$C137)*INDEX(Routes!$X$6:$X$9,$C137)*F137)-3),IF((INDEX(Routes!$L$6:$L$9,$C137)*INDEX(Routes!$X$6:$X$9,$C137)*F137)&lt;=5,3.65+0.6*((INDEX(Routes!$L$6:$L$9,$C137)*INDEX(Routes!$X$6:$X$9,$C137)*F137)-4),4.25+0.5*((INDEX(Routes!$L$6:$L$9,$C137)*INDEX(Routes!$X$6:$X$9,$C137)*F137)-5)))))</f>
        <v>19557.6</v>
      </c>
      <c r="AO137" s="67" t="n">
        <f aca="false">LOA_ft*Port_Tariffs!$C$9*IF((INDEX(Routes!$M$6:$M$9,$C137)*INDEX(Routes!$Y$6:$Y$9,$C137)*F137)&lt;=2,(INDEX(Routes!$M$6:$M$9,$C137)*INDEX(Routes!$Y$6:$Y$9,$C137)*F137),IF((INDEX(Routes!$M$6:$M$9,$C137)*INDEX(Routes!$Y$6:$Y$9,$C137)*F137)&lt;=3,2+0.9*((INDEX(Routes!$M$6:$M$9,$C137)*INDEX(Routes!$Y$6:$Y$9,$C137)*F137)-2),IF((INDEX(Routes!$M$6:$M$9,$C137)*INDEX(Routes!$Y$6:$Y$9,$C137)*F137)&lt;=4,2.9+0.75*((INDEX(Routes!$M$6:$M$9,$C137)*INDEX(Routes!$Y$6:$Y$9,$C137)*F137)-3),IF((INDEX(Routes!$M$6:$M$9,$C137)*INDEX(Routes!$Y$6:$Y$9,$C137)*F137)&lt;=5,3.65+0.6*((INDEX(Routes!$M$6:$M$9,$C137)*INDEX(Routes!$Y$6:$Y$9,$C137)*F137)-4),4.25+0.5*((INDEX(Routes!$M$6:$M$9,$C137)*INDEX(Routes!$Y$6:$Y$9,$C137)*F137)-5)))))</f>
        <v>0</v>
      </c>
    </row>
    <row r="138" customFormat="false" ht="15" hidden="false" customHeight="false" outlineLevel="0" collapsed="false">
      <c r="A138" s="2" t="s">
        <v>634</v>
      </c>
      <c r="B138" s="2" t="s">
        <v>630</v>
      </c>
      <c r="C138" s="16" t="n">
        <f aca="false">Sw_Route</f>
        <v>1</v>
      </c>
      <c r="D138" s="70" t="n">
        <v>100</v>
      </c>
      <c r="E138" s="92" t="n">
        <v>0.8</v>
      </c>
      <c r="F138" s="88" t="n">
        <f aca="false">PortMult</f>
        <v>1</v>
      </c>
      <c r="G138" s="89" t="n">
        <f aca="false">UtilFH</f>
        <v>0.85</v>
      </c>
      <c r="H138" s="89" t="n">
        <f aca="false">UtilBH</f>
        <v>0.5</v>
      </c>
      <c r="I138" s="90" t="n">
        <f aca="false">Speed</f>
        <v>13.5</v>
      </c>
      <c r="J138" s="88" t="n">
        <f aca="false">PortCostMult</f>
        <v>1</v>
      </c>
      <c r="K138" s="90" t="n">
        <f aca="false">EUA</f>
        <v>75</v>
      </c>
      <c r="L138" s="71" t="n">
        <f aca="false">INDEX(Routes!$E$6:$E$9,$C138)</f>
        <v>5000</v>
      </c>
      <c r="M138" s="72" t="n">
        <f aca="false">INDEX(Routes!$F$6:$F$9,$C138)/L138</f>
        <v>0.13</v>
      </c>
      <c r="N138" s="77" t="n">
        <f aca="false">2*L138*(1+SeaMargin)/(I138*24)</f>
        <v>32.4074074074074</v>
      </c>
      <c r="O138" s="84" t="n">
        <f aca="false">(I138/RefSpeed)^SpeedExp</f>
        <v>1</v>
      </c>
      <c r="P138" s="2" t="n">
        <f aca="false">IF(H138&gt;0,1,0)</f>
        <v>1</v>
      </c>
      <c r="Q138" s="71" t="n">
        <f aca="false">N138/2*O138*(ConsLaden+IF(P138=1,ConsLaden,ConsBallast))</f>
        <v>875</v>
      </c>
      <c r="R138" s="71" t="n">
        <f aca="false">Q138*(1-M138)</f>
        <v>761.25</v>
      </c>
      <c r="S138" s="71" t="n">
        <f aca="false">Q138*M138</f>
        <v>113.75</v>
      </c>
      <c r="T138" s="2" t="n">
        <f aca="false">1+P138</f>
        <v>2</v>
      </c>
      <c r="U138" s="77" t="n">
        <f aca="false">INDEX(Routes!$L$6:$L$9,$C138)*T138*F138</f>
        <v>10</v>
      </c>
      <c r="V138" s="77" t="n">
        <f aca="false">INDEX(Routes!$M$6:$M$9,$C138)*T138*F138</f>
        <v>7</v>
      </c>
      <c r="W138" s="77" t="n">
        <f aca="false">INDEX(Routes!$H$6:$H$9,$C138)*2</f>
        <v>0</v>
      </c>
      <c r="X138" s="71" t="n">
        <f aca="false">(U138+V138+W138)*ConsPort</f>
        <v>102</v>
      </c>
      <c r="Y138" s="67" t="n">
        <f aca="false">R138*D138*VLSFO_Mult+(S138+X138)*D138*MGO_Mult</f>
        <v>795440</v>
      </c>
      <c r="Z138" s="67" t="n">
        <f aca="false">(INDEX(Routes!$N$6:$N$9,$C138)+AN138+MIN(AC138*INDEX(Routes!$T$6:$T$9,$C138),INDEX(Routes!$V$6:$V$9,$C138))+INDEX(Routes!$O$6:$O$9,$C138)+AO138+MIN(AC138*INDEX(Routes!$U$6:$U$9,$C138),INDEX(Routes!$W$6:$W$9,$C138))+IF(P138=1,INDEX(Routes!$N$6:$N$9,$C138)+AN138+MIN(AD138*INDEX(Routes!$T$6:$T$9,$C138),INDEX(Routes!$V$6:$V$9,$C138))+INDEX(Routes!$O$6:$O$9,$C138)+AO138+MIN(AD138*INDEX(Routes!$U$6:$U$9,$C138),INDEX(Routes!$W$6:$W$9,$C138)),0))*J138</f>
        <v>252304.2096</v>
      </c>
      <c r="AA138" s="67" t="n">
        <f aca="false">INDEX(Routes!$R$6:$R$9,$C138)+IF(P138=1,INDEX(Routes!$R$6:$R$9,$C138),INDEX(Routes!$S$6:$S$9,$C138))</f>
        <v>0</v>
      </c>
      <c r="AB138" s="67" t="n">
        <f aca="false">((R138*CO2_VLSFO+S138*CO2_MGO)*INDEX(Routes!$I$6:$I$9,$C138)+(U138*INDEX(Routes!$P$6:$P$9,$C138)+V138*INDEX(Routes!$Q$6:$Q$9,$C138))*ConsPort*CO2_MGO)*PhaseIn*K138*FX</f>
        <v>123936.40875</v>
      </c>
      <c r="AC138" s="71" t="n">
        <f aca="false">Capacity*G138</f>
        <v>30600</v>
      </c>
      <c r="AD138" s="71" t="n">
        <f aca="false">Capacity*H138</f>
        <v>18000</v>
      </c>
      <c r="AE138" s="82" t="n">
        <f aca="false">INDEX(Routes!$J$6:$J$9,$C138)*E138</f>
        <v>41.6</v>
      </c>
      <c r="AF138" s="82" t="n">
        <f aca="false">INDEX(Routes!$K$6:$K$9,$C138)*E138</f>
        <v>30.4</v>
      </c>
      <c r="AG138" s="67" t="n">
        <f aca="false">AC138*AE138+AD138*AF138</f>
        <v>1820160</v>
      </c>
      <c r="AH138" s="67" t="n">
        <f aca="false">AG138*Commission</f>
        <v>45504</v>
      </c>
      <c r="AI138" s="67" t="n">
        <f aca="false">Y138+Z138+AA138+AB138+MiscVoy</f>
        <v>1196680.61835</v>
      </c>
      <c r="AJ138" s="77" t="n">
        <f aca="false">N138+U138+V138+W138</f>
        <v>49.4074074074074</v>
      </c>
      <c r="AK138" s="94" t="n">
        <f aca="false">(AG138-AH138-AI138)/AJ138</f>
        <v>11698.1524022114</v>
      </c>
      <c r="AL138" s="67" t="n">
        <f aca="false">AG138-AH138-AI138-Benchmark*AJ138</f>
        <v>-311357.951683333</v>
      </c>
      <c r="AM138" s="82" t="n">
        <f aca="false">IF(AC138&gt;0,((Benchmark*AJ138+AI138)/(1-Commission)-AD138*AF138)/AC138,0)</f>
        <v>52.0359963694766</v>
      </c>
      <c r="AN138" s="67" t="n">
        <f aca="false">LOA_ft*Port_Tariffs!$C$9*IF((INDEX(Routes!$L$6:$L$9,$C138)*INDEX(Routes!$X$6:$X$9,$C138)*F138)&lt;=2,(INDEX(Routes!$L$6:$L$9,$C138)*INDEX(Routes!$X$6:$X$9,$C138)*F138),IF((INDEX(Routes!$L$6:$L$9,$C138)*INDEX(Routes!$X$6:$X$9,$C138)*F138)&lt;=3,2+0.9*((INDEX(Routes!$L$6:$L$9,$C138)*INDEX(Routes!$X$6:$X$9,$C138)*F138)-2),IF((INDEX(Routes!$L$6:$L$9,$C138)*INDEX(Routes!$X$6:$X$9,$C138)*F138)&lt;=4,2.9+0.75*((INDEX(Routes!$L$6:$L$9,$C138)*INDEX(Routes!$X$6:$X$9,$C138)*F138)-3),IF((INDEX(Routes!$L$6:$L$9,$C138)*INDEX(Routes!$X$6:$X$9,$C138)*F138)&lt;=5,3.65+0.6*((INDEX(Routes!$L$6:$L$9,$C138)*INDEX(Routes!$X$6:$X$9,$C138)*F138)-4),4.25+0.5*((INDEX(Routes!$L$6:$L$9,$C138)*INDEX(Routes!$X$6:$X$9,$C138)*F138)-5)))))</f>
        <v>19557.6</v>
      </c>
      <c r="AO138" s="67" t="n">
        <f aca="false">LOA_ft*Port_Tariffs!$C$9*IF((INDEX(Routes!$M$6:$M$9,$C138)*INDEX(Routes!$Y$6:$Y$9,$C138)*F138)&lt;=2,(INDEX(Routes!$M$6:$M$9,$C138)*INDEX(Routes!$Y$6:$Y$9,$C138)*F138),IF((INDEX(Routes!$M$6:$M$9,$C138)*INDEX(Routes!$Y$6:$Y$9,$C138)*F138)&lt;=3,2+0.9*((INDEX(Routes!$M$6:$M$9,$C138)*INDEX(Routes!$Y$6:$Y$9,$C138)*F138)-2),IF((INDEX(Routes!$M$6:$M$9,$C138)*INDEX(Routes!$Y$6:$Y$9,$C138)*F138)&lt;=4,2.9+0.75*((INDEX(Routes!$M$6:$M$9,$C138)*INDEX(Routes!$Y$6:$Y$9,$C138)*F138)-3),IF((INDEX(Routes!$M$6:$M$9,$C138)*INDEX(Routes!$Y$6:$Y$9,$C138)*F138)&lt;=5,3.65+0.6*((INDEX(Routes!$M$6:$M$9,$C138)*INDEX(Routes!$Y$6:$Y$9,$C138)*F138)-4),4.25+0.5*((INDEX(Routes!$M$6:$M$9,$C138)*INDEX(Routes!$Y$6:$Y$9,$C138)*F138)-5)))))</f>
        <v>0</v>
      </c>
    </row>
    <row r="139" customFormat="false" ht="15" hidden="false" customHeight="false" outlineLevel="0" collapsed="false">
      <c r="A139" s="2" t="s">
        <v>635</v>
      </c>
      <c r="B139" s="2" t="s">
        <v>630</v>
      </c>
      <c r="C139" s="16" t="n">
        <f aca="false">Sw_Route</f>
        <v>1</v>
      </c>
      <c r="D139" s="70" t="n">
        <v>110</v>
      </c>
      <c r="E139" s="92" t="n">
        <v>0.8</v>
      </c>
      <c r="F139" s="88" t="n">
        <f aca="false">PortMult</f>
        <v>1</v>
      </c>
      <c r="G139" s="89" t="n">
        <f aca="false">UtilFH</f>
        <v>0.85</v>
      </c>
      <c r="H139" s="89" t="n">
        <f aca="false">UtilBH</f>
        <v>0.5</v>
      </c>
      <c r="I139" s="90" t="n">
        <f aca="false">Speed</f>
        <v>13.5</v>
      </c>
      <c r="J139" s="88" t="n">
        <f aca="false">PortCostMult</f>
        <v>1</v>
      </c>
      <c r="K139" s="90" t="n">
        <f aca="false">EUA</f>
        <v>75</v>
      </c>
      <c r="L139" s="71" t="n">
        <f aca="false">INDEX(Routes!$E$6:$E$9,$C139)</f>
        <v>5000</v>
      </c>
      <c r="M139" s="72" t="n">
        <f aca="false">INDEX(Routes!$F$6:$F$9,$C139)/L139</f>
        <v>0.13</v>
      </c>
      <c r="N139" s="77" t="n">
        <f aca="false">2*L139*(1+SeaMargin)/(I139*24)</f>
        <v>32.4074074074074</v>
      </c>
      <c r="O139" s="84" t="n">
        <f aca="false">(I139/RefSpeed)^SpeedExp</f>
        <v>1</v>
      </c>
      <c r="P139" s="2" t="n">
        <f aca="false">IF(H139&gt;0,1,0)</f>
        <v>1</v>
      </c>
      <c r="Q139" s="71" t="n">
        <f aca="false">N139/2*O139*(ConsLaden+IF(P139=1,ConsLaden,ConsBallast))</f>
        <v>875</v>
      </c>
      <c r="R139" s="71" t="n">
        <f aca="false">Q139*(1-M139)</f>
        <v>761.25</v>
      </c>
      <c r="S139" s="71" t="n">
        <f aca="false">Q139*M139</f>
        <v>113.75</v>
      </c>
      <c r="T139" s="2" t="n">
        <f aca="false">1+P139</f>
        <v>2</v>
      </c>
      <c r="U139" s="77" t="n">
        <f aca="false">INDEX(Routes!$L$6:$L$9,$C139)*T139*F139</f>
        <v>10</v>
      </c>
      <c r="V139" s="77" t="n">
        <f aca="false">INDEX(Routes!$M$6:$M$9,$C139)*T139*F139</f>
        <v>7</v>
      </c>
      <c r="W139" s="77" t="n">
        <f aca="false">INDEX(Routes!$H$6:$H$9,$C139)*2</f>
        <v>0</v>
      </c>
      <c r="X139" s="71" t="n">
        <f aca="false">(U139+V139+W139)*ConsPort</f>
        <v>102</v>
      </c>
      <c r="Y139" s="67" t="n">
        <f aca="false">R139*D139*VLSFO_Mult+(S139+X139)*D139*MGO_Mult</f>
        <v>874984</v>
      </c>
      <c r="Z139" s="67" t="n">
        <f aca="false">(INDEX(Routes!$N$6:$N$9,$C139)+AN139+MIN(AC139*INDEX(Routes!$T$6:$T$9,$C139),INDEX(Routes!$V$6:$V$9,$C139))+INDEX(Routes!$O$6:$O$9,$C139)+AO139+MIN(AC139*INDEX(Routes!$U$6:$U$9,$C139),INDEX(Routes!$W$6:$W$9,$C139))+IF(P139=1,INDEX(Routes!$N$6:$N$9,$C139)+AN139+MIN(AD139*INDEX(Routes!$T$6:$T$9,$C139),INDEX(Routes!$V$6:$V$9,$C139))+INDEX(Routes!$O$6:$O$9,$C139)+AO139+MIN(AD139*INDEX(Routes!$U$6:$U$9,$C139),INDEX(Routes!$W$6:$W$9,$C139)),0))*J139</f>
        <v>252304.2096</v>
      </c>
      <c r="AA139" s="67" t="n">
        <f aca="false">INDEX(Routes!$R$6:$R$9,$C139)+IF(P139=1,INDEX(Routes!$R$6:$R$9,$C139),INDEX(Routes!$S$6:$S$9,$C139))</f>
        <v>0</v>
      </c>
      <c r="AB139" s="67" t="n">
        <f aca="false">((R139*CO2_VLSFO+S139*CO2_MGO)*INDEX(Routes!$I$6:$I$9,$C139)+(U139*INDEX(Routes!$P$6:$P$9,$C139)+V139*INDEX(Routes!$Q$6:$Q$9,$C139))*ConsPort*CO2_MGO)*PhaseIn*K139*FX</f>
        <v>123936.40875</v>
      </c>
      <c r="AC139" s="71" t="n">
        <f aca="false">Capacity*G139</f>
        <v>30600</v>
      </c>
      <c r="AD139" s="71" t="n">
        <f aca="false">Capacity*H139</f>
        <v>18000</v>
      </c>
      <c r="AE139" s="82" t="n">
        <f aca="false">INDEX(Routes!$J$6:$J$9,$C139)*E139</f>
        <v>41.6</v>
      </c>
      <c r="AF139" s="82" t="n">
        <f aca="false">INDEX(Routes!$K$6:$K$9,$C139)*E139</f>
        <v>30.4</v>
      </c>
      <c r="AG139" s="67" t="n">
        <f aca="false">AC139*AE139+AD139*AF139</f>
        <v>1820160</v>
      </c>
      <c r="AH139" s="67" t="n">
        <f aca="false">AG139*Commission</f>
        <v>45504</v>
      </c>
      <c r="AI139" s="67" t="n">
        <f aca="false">Y139+Z139+AA139+AB139+MiscVoy</f>
        <v>1276224.61835</v>
      </c>
      <c r="AJ139" s="77" t="n">
        <f aca="false">N139+U139+V139+W139</f>
        <v>49.4074074074074</v>
      </c>
      <c r="AK139" s="94" t="n">
        <f aca="false">(AG139-AH139-AI139)/AJ139</f>
        <v>10088.1913827211</v>
      </c>
      <c r="AL139" s="67" t="n">
        <f aca="false">AG139-AH139-AI139-Benchmark*AJ139</f>
        <v>-390901.951683333</v>
      </c>
      <c r="AM139" s="82" t="n">
        <f aca="false">IF(AC139&gt;0,((Benchmark*AJ139+AI139)/(1-Commission)-AD139*AF139)/AC139,0)</f>
        <v>54.702126753254</v>
      </c>
      <c r="AN139" s="67" t="n">
        <f aca="false">LOA_ft*Port_Tariffs!$C$9*IF((INDEX(Routes!$L$6:$L$9,$C139)*INDEX(Routes!$X$6:$X$9,$C139)*F139)&lt;=2,(INDEX(Routes!$L$6:$L$9,$C139)*INDEX(Routes!$X$6:$X$9,$C139)*F139),IF((INDEX(Routes!$L$6:$L$9,$C139)*INDEX(Routes!$X$6:$X$9,$C139)*F139)&lt;=3,2+0.9*((INDEX(Routes!$L$6:$L$9,$C139)*INDEX(Routes!$X$6:$X$9,$C139)*F139)-2),IF((INDEX(Routes!$L$6:$L$9,$C139)*INDEX(Routes!$X$6:$X$9,$C139)*F139)&lt;=4,2.9+0.75*((INDEX(Routes!$L$6:$L$9,$C139)*INDEX(Routes!$X$6:$X$9,$C139)*F139)-3),IF((INDEX(Routes!$L$6:$L$9,$C139)*INDEX(Routes!$X$6:$X$9,$C139)*F139)&lt;=5,3.65+0.6*((INDEX(Routes!$L$6:$L$9,$C139)*INDEX(Routes!$X$6:$X$9,$C139)*F139)-4),4.25+0.5*((INDEX(Routes!$L$6:$L$9,$C139)*INDEX(Routes!$X$6:$X$9,$C139)*F139)-5)))))</f>
        <v>19557.6</v>
      </c>
      <c r="AO139" s="67" t="n">
        <f aca="false">LOA_ft*Port_Tariffs!$C$9*IF((INDEX(Routes!$M$6:$M$9,$C139)*INDEX(Routes!$Y$6:$Y$9,$C139)*F139)&lt;=2,(INDEX(Routes!$M$6:$M$9,$C139)*INDEX(Routes!$Y$6:$Y$9,$C139)*F139),IF((INDEX(Routes!$M$6:$M$9,$C139)*INDEX(Routes!$Y$6:$Y$9,$C139)*F139)&lt;=3,2+0.9*((INDEX(Routes!$M$6:$M$9,$C139)*INDEX(Routes!$Y$6:$Y$9,$C139)*F139)-2),IF((INDEX(Routes!$M$6:$M$9,$C139)*INDEX(Routes!$Y$6:$Y$9,$C139)*F139)&lt;=4,2.9+0.75*((INDEX(Routes!$M$6:$M$9,$C139)*INDEX(Routes!$Y$6:$Y$9,$C139)*F139)-3),IF((INDEX(Routes!$M$6:$M$9,$C139)*INDEX(Routes!$Y$6:$Y$9,$C139)*F139)&lt;=5,3.65+0.6*((INDEX(Routes!$M$6:$M$9,$C139)*INDEX(Routes!$Y$6:$Y$9,$C139)*F139)-4),4.25+0.5*((INDEX(Routes!$M$6:$M$9,$C139)*INDEX(Routes!$Y$6:$Y$9,$C139)*F139)-5)))))</f>
        <v>0</v>
      </c>
    </row>
    <row r="140" customFormat="false" ht="15" hidden="false" customHeight="false" outlineLevel="0" collapsed="false">
      <c r="A140" s="2" t="s">
        <v>636</v>
      </c>
      <c r="B140" s="2" t="s">
        <v>630</v>
      </c>
      <c r="C140" s="16" t="n">
        <f aca="false">Sw_Route</f>
        <v>1</v>
      </c>
      <c r="D140" s="70" t="n">
        <v>120</v>
      </c>
      <c r="E140" s="92" t="n">
        <v>0.8</v>
      </c>
      <c r="F140" s="88" t="n">
        <f aca="false">PortMult</f>
        <v>1</v>
      </c>
      <c r="G140" s="89" t="n">
        <f aca="false">UtilFH</f>
        <v>0.85</v>
      </c>
      <c r="H140" s="89" t="n">
        <f aca="false">UtilBH</f>
        <v>0.5</v>
      </c>
      <c r="I140" s="90" t="n">
        <f aca="false">Speed</f>
        <v>13.5</v>
      </c>
      <c r="J140" s="88" t="n">
        <f aca="false">PortCostMult</f>
        <v>1</v>
      </c>
      <c r="K140" s="90" t="n">
        <f aca="false">EUA</f>
        <v>75</v>
      </c>
      <c r="L140" s="71" t="n">
        <f aca="false">INDEX(Routes!$E$6:$E$9,$C140)</f>
        <v>5000</v>
      </c>
      <c r="M140" s="72" t="n">
        <f aca="false">INDEX(Routes!$F$6:$F$9,$C140)/L140</f>
        <v>0.13</v>
      </c>
      <c r="N140" s="77" t="n">
        <f aca="false">2*L140*(1+SeaMargin)/(I140*24)</f>
        <v>32.4074074074074</v>
      </c>
      <c r="O140" s="84" t="n">
        <f aca="false">(I140/RefSpeed)^SpeedExp</f>
        <v>1</v>
      </c>
      <c r="P140" s="2" t="n">
        <f aca="false">IF(H140&gt;0,1,0)</f>
        <v>1</v>
      </c>
      <c r="Q140" s="71" t="n">
        <f aca="false">N140/2*O140*(ConsLaden+IF(P140=1,ConsLaden,ConsBallast))</f>
        <v>875</v>
      </c>
      <c r="R140" s="71" t="n">
        <f aca="false">Q140*(1-M140)</f>
        <v>761.25</v>
      </c>
      <c r="S140" s="71" t="n">
        <f aca="false">Q140*M140</f>
        <v>113.75</v>
      </c>
      <c r="T140" s="2" t="n">
        <f aca="false">1+P140</f>
        <v>2</v>
      </c>
      <c r="U140" s="77" t="n">
        <f aca="false">INDEX(Routes!$L$6:$L$9,$C140)*T140*F140</f>
        <v>10</v>
      </c>
      <c r="V140" s="77" t="n">
        <f aca="false">INDEX(Routes!$M$6:$M$9,$C140)*T140*F140</f>
        <v>7</v>
      </c>
      <c r="W140" s="77" t="n">
        <f aca="false">INDEX(Routes!$H$6:$H$9,$C140)*2</f>
        <v>0</v>
      </c>
      <c r="X140" s="71" t="n">
        <f aca="false">(U140+V140+W140)*ConsPort</f>
        <v>102</v>
      </c>
      <c r="Y140" s="67" t="n">
        <f aca="false">R140*D140*VLSFO_Mult+(S140+X140)*D140*MGO_Mult</f>
        <v>954528</v>
      </c>
      <c r="Z140" s="67" t="n">
        <f aca="false">(INDEX(Routes!$N$6:$N$9,$C140)+AN140+MIN(AC140*INDEX(Routes!$T$6:$T$9,$C140),INDEX(Routes!$V$6:$V$9,$C140))+INDEX(Routes!$O$6:$O$9,$C140)+AO140+MIN(AC140*INDEX(Routes!$U$6:$U$9,$C140),INDEX(Routes!$W$6:$W$9,$C140))+IF(P140=1,INDEX(Routes!$N$6:$N$9,$C140)+AN140+MIN(AD140*INDEX(Routes!$T$6:$T$9,$C140),INDEX(Routes!$V$6:$V$9,$C140))+INDEX(Routes!$O$6:$O$9,$C140)+AO140+MIN(AD140*INDEX(Routes!$U$6:$U$9,$C140),INDEX(Routes!$W$6:$W$9,$C140)),0))*J140</f>
        <v>252304.2096</v>
      </c>
      <c r="AA140" s="67" t="n">
        <f aca="false">INDEX(Routes!$R$6:$R$9,$C140)+IF(P140=1,INDEX(Routes!$R$6:$R$9,$C140),INDEX(Routes!$S$6:$S$9,$C140))</f>
        <v>0</v>
      </c>
      <c r="AB140" s="67" t="n">
        <f aca="false">((R140*CO2_VLSFO+S140*CO2_MGO)*INDEX(Routes!$I$6:$I$9,$C140)+(U140*INDEX(Routes!$P$6:$P$9,$C140)+V140*INDEX(Routes!$Q$6:$Q$9,$C140))*ConsPort*CO2_MGO)*PhaseIn*K140*FX</f>
        <v>123936.40875</v>
      </c>
      <c r="AC140" s="71" t="n">
        <f aca="false">Capacity*G140</f>
        <v>30600</v>
      </c>
      <c r="AD140" s="71" t="n">
        <f aca="false">Capacity*H140</f>
        <v>18000</v>
      </c>
      <c r="AE140" s="82" t="n">
        <f aca="false">INDEX(Routes!$J$6:$J$9,$C140)*E140</f>
        <v>41.6</v>
      </c>
      <c r="AF140" s="82" t="n">
        <f aca="false">INDEX(Routes!$K$6:$K$9,$C140)*E140</f>
        <v>30.4</v>
      </c>
      <c r="AG140" s="67" t="n">
        <f aca="false">AC140*AE140+AD140*AF140</f>
        <v>1820160</v>
      </c>
      <c r="AH140" s="67" t="n">
        <f aca="false">AG140*Commission</f>
        <v>45504</v>
      </c>
      <c r="AI140" s="67" t="n">
        <f aca="false">Y140+Z140+AA140+AB140+MiscVoy</f>
        <v>1355768.61835</v>
      </c>
      <c r="AJ140" s="77" t="n">
        <f aca="false">N140+U140+V140+W140</f>
        <v>49.4074074074074</v>
      </c>
      <c r="AK140" s="94" t="n">
        <f aca="false">(AG140-AH140-AI140)/AJ140</f>
        <v>8478.23036323089</v>
      </c>
      <c r="AL140" s="67" t="n">
        <f aca="false">AG140-AH140-AI140-Benchmark*AJ140</f>
        <v>-470445.951683333</v>
      </c>
      <c r="AM140" s="82" t="n">
        <f aca="false">IF(AC140&gt;0,((Benchmark*AJ140+AI140)/(1-Commission)-AD140*AF140)/AC140,0)</f>
        <v>57.3682571370314</v>
      </c>
      <c r="AN140" s="67" t="n">
        <f aca="false">LOA_ft*Port_Tariffs!$C$9*IF((INDEX(Routes!$L$6:$L$9,$C140)*INDEX(Routes!$X$6:$X$9,$C140)*F140)&lt;=2,(INDEX(Routes!$L$6:$L$9,$C140)*INDEX(Routes!$X$6:$X$9,$C140)*F140),IF((INDEX(Routes!$L$6:$L$9,$C140)*INDEX(Routes!$X$6:$X$9,$C140)*F140)&lt;=3,2+0.9*((INDEX(Routes!$L$6:$L$9,$C140)*INDEX(Routes!$X$6:$X$9,$C140)*F140)-2),IF((INDEX(Routes!$L$6:$L$9,$C140)*INDEX(Routes!$X$6:$X$9,$C140)*F140)&lt;=4,2.9+0.75*((INDEX(Routes!$L$6:$L$9,$C140)*INDEX(Routes!$X$6:$X$9,$C140)*F140)-3),IF((INDEX(Routes!$L$6:$L$9,$C140)*INDEX(Routes!$X$6:$X$9,$C140)*F140)&lt;=5,3.65+0.6*((INDEX(Routes!$L$6:$L$9,$C140)*INDEX(Routes!$X$6:$X$9,$C140)*F140)-4),4.25+0.5*((INDEX(Routes!$L$6:$L$9,$C140)*INDEX(Routes!$X$6:$X$9,$C140)*F140)-5)))))</f>
        <v>19557.6</v>
      </c>
      <c r="AO140" s="67" t="n">
        <f aca="false">LOA_ft*Port_Tariffs!$C$9*IF((INDEX(Routes!$M$6:$M$9,$C140)*INDEX(Routes!$Y$6:$Y$9,$C140)*F140)&lt;=2,(INDEX(Routes!$M$6:$M$9,$C140)*INDEX(Routes!$Y$6:$Y$9,$C140)*F140),IF((INDEX(Routes!$M$6:$M$9,$C140)*INDEX(Routes!$Y$6:$Y$9,$C140)*F140)&lt;=3,2+0.9*((INDEX(Routes!$M$6:$M$9,$C140)*INDEX(Routes!$Y$6:$Y$9,$C140)*F140)-2),IF((INDEX(Routes!$M$6:$M$9,$C140)*INDEX(Routes!$Y$6:$Y$9,$C140)*F140)&lt;=4,2.9+0.75*((INDEX(Routes!$M$6:$M$9,$C140)*INDEX(Routes!$Y$6:$Y$9,$C140)*F140)-3),IF((INDEX(Routes!$M$6:$M$9,$C140)*INDEX(Routes!$Y$6:$Y$9,$C140)*F140)&lt;=5,3.65+0.6*((INDEX(Routes!$M$6:$M$9,$C140)*INDEX(Routes!$Y$6:$Y$9,$C140)*F140)-4),4.25+0.5*((INDEX(Routes!$M$6:$M$9,$C140)*INDEX(Routes!$Y$6:$Y$9,$C140)*F140)-5)))))</f>
        <v>0</v>
      </c>
    </row>
    <row r="141" customFormat="false" ht="15" hidden="false" customHeight="false" outlineLevel="0" collapsed="false">
      <c r="A141" s="2" t="s">
        <v>637</v>
      </c>
      <c r="B141" s="2" t="s">
        <v>630</v>
      </c>
      <c r="C141" s="16" t="n">
        <f aca="false">Sw_Route</f>
        <v>1</v>
      </c>
      <c r="D141" s="70" t="n">
        <v>60</v>
      </c>
      <c r="E141" s="92" t="n">
        <v>0.9</v>
      </c>
      <c r="F141" s="88" t="n">
        <f aca="false">PortMult</f>
        <v>1</v>
      </c>
      <c r="G141" s="89" t="n">
        <f aca="false">UtilFH</f>
        <v>0.85</v>
      </c>
      <c r="H141" s="89" t="n">
        <f aca="false">UtilBH</f>
        <v>0.5</v>
      </c>
      <c r="I141" s="90" t="n">
        <f aca="false">Speed</f>
        <v>13.5</v>
      </c>
      <c r="J141" s="88" t="n">
        <f aca="false">PortCostMult</f>
        <v>1</v>
      </c>
      <c r="K141" s="90" t="n">
        <f aca="false">EUA</f>
        <v>75</v>
      </c>
      <c r="L141" s="71" t="n">
        <f aca="false">INDEX(Routes!$E$6:$E$9,$C141)</f>
        <v>5000</v>
      </c>
      <c r="M141" s="72" t="n">
        <f aca="false">INDEX(Routes!$F$6:$F$9,$C141)/L141</f>
        <v>0.13</v>
      </c>
      <c r="N141" s="77" t="n">
        <f aca="false">2*L141*(1+SeaMargin)/(I141*24)</f>
        <v>32.4074074074074</v>
      </c>
      <c r="O141" s="84" t="n">
        <f aca="false">(I141/RefSpeed)^SpeedExp</f>
        <v>1</v>
      </c>
      <c r="P141" s="2" t="n">
        <f aca="false">IF(H141&gt;0,1,0)</f>
        <v>1</v>
      </c>
      <c r="Q141" s="71" t="n">
        <f aca="false">N141/2*O141*(ConsLaden+IF(P141=1,ConsLaden,ConsBallast))</f>
        <v>875</v>
      </c>
      <c r="R141" s="71" t="n">
        <f aca="false">Q141*(1-M141)</f>
        <v>761.25</v>
      </c>
      <c r="S141" s="71" t="n">
        <f aca="false">Q141*M141</f>
        <v>113.75</v>
      </c>
      <c r="T141" s="2" t="n">
        <f aca="false">1+P141</f>
        <v>2</v>
      </c>
      <c r="U141" s="77" t="n">
        <f aca="false">INDEX(Routes!$L$6:$L$9,$C141)*T141*F141</f>
        <v>10</v>
      </c>
      <c r="V141" s="77" t="n">
        <f aca="false">INDEX(Routes!$M$6:$M$9,$C141)*T141*F141</f>
        <v>7</v>
      </c>
      <c r="W141" s="77" t="n">
        <f aca="false">INDEX(Routes!$H$6:$H$9,$C141)*2</f>
        <v>0</v>
      </c>
      <c r="X141" s="71" t="n">
        <f aca="false">(U141+V141+W141)*ConsPort</f>
        <v>102</v>
      </c>
      <c r="Y141" s="67" t="n">
        <f aca="false">R141*D141*VLSFO_Mult+(S141+X141)*D141*MGO_Mult</f>
        <v>477264</v>
      </c>
      <c r="Z141" s="67" t="n">
        <f aca="false">(INDEX(Routes!$N$6:$N$9,$C141)+AN141+MIN(AC141*INDEX(Routes!$T$6:$T$9,$C141),INDEX(Routes!$V$6:$V$9,$C141))+INDEX(Routes!$O$6:$O$9,$C141)+AO141+MIN(AC141*INDEX(Routes!$U$6:$U$9,$C141),INDEX(Routes!$W$6:$W$9,$C141))+IF(P141=1,INDEX(Routes!$N$6:$N$9,$C141)+AN141+MIN(AD141*INDEX(Routes!$T$6:$T$9,$C141),INDEX(Routes!$V$6:$V$9,$C141))+INDEX(Routes!$O$6:$O$9,$C141)+AO141+MIN(AD141*INDEX(Routes!$U$6:$U$9,$C141),INDEX(Routes!$W$6:$W$9,$C141)),0))*J141</f>
        <v>252304.2096</v>
      </c>
      <c r="AA141" s="67" t="n">
        <f aca="false">INDEX(Routes!$R$6:$R$9,$C141)+IF(P141=1,INDEX(Routes!$R$6:$R$9,$C141),INDEX(Routes!$S$6:$S$9,$C141))</f>
        <v>0</v>
      </c>
      <c r="AB141" s="67" t="n">
        <f aca="false">((R141*CO2_VLSFO+S141*CO2_MGO)*INDEX(Routes!$I$6:$I$9,$C141)+(U141*INDEX(Routes!$P$6:$P$9,$C141)+V141*INDEX(Routes!$Q$6:$Q$9,$C141))*ConsPort*CO2_MGO)*PhaseIn*K141*FX</f>
        <v>123936.40875</v>
      </c>
      <c r="AC141" s="71" t="n">
        <f aca="false">Capacity*G141</f>
        <v>30600</v>
      </c>
      <c r="AD141" s="71" t="n">
        <f aca="false">Capacity*H141</f>
        <v>18000</v>
      </c>
      <c r="AE141" s="82" t="n">
        <f aca="false">INDEX(Routes!$J$6:$J$9,$C141)*E141</f>
        <v>46.8</v>
      </c>
      <c r="AF141" s="82" t="n">
        <f aca="false">INDEX(Routes!$K$6:$K$9,$C141)*E141</f>
        <v>34.2</v>
      </c>
      <c r="AG141" s="67" t="n">
        <f aca="false">AC141*AE141+AD141*AF141</f>
        <v>2047680</v>
      </c>
      <c r="AH141" s="67" t="n">
        <f aca="false">AG141*Commission</f>
        <v>51192</v>
      </c>
      <c r="AI141" s="67" t="n">
        <f aca="false">Y141+Z141+AA141+AB141+MiscVoy</f>
        <v>878504.61835</v>
      </c>
      <c r="AJ141" s="77" t="n">
        <f aca="false">N141+U141+V141+W141</f>
        <v>49.4074074074074</v>
      </c>
      <c r="AK141" s="94" t="n">
        <f aca="false">(AG141-AH141-AI141)/AJ141</f>
        <v>22627.8495536357</v>
      </c>
      <c r="AL141" s="67" t="n">
        <f aca="false">AG141-AH141-AI141-Benchmark*AJ141</f>
        <v>228650.048316667</v>
      </c>
      <c r="AM141" s="82" t="n">
        <f aca="false">IF(AC141&gt;0,((Benchmark*AJ141+AI141)/(1-Commission)-AD141*AF141)/AC141,0)</f>
        <v>39.1361807167197</v>
      </c>
      <c r="AN141" s="67" t="n">
        <f aca="false">LOA_ft*Port_Tariffs!$C$9*IF((INDEX(Routes!$L$6:$L$9,$C141)*INDEX(Routes!$X$6:$X$9,$C141)*F141)&lt;=2,(INDEX(Routes!$L$6:$L$9,$C141)*INDEX(Routes!$X$6:$X$9,$C141)*F141),IF((INDEX(Routes!$L$6:$L$9,$C141)*INDEX(Routes!$X$6:$X$9,$C141)*F141)&lt;=3,2+0.9*((INDEX(Routes!$L$6:$L$9,$C141)*INDEX(Routes!$X$6:$X$9,$C141)*F141)-2),IF((INDEX(Routes!$L$6:$L$9,$C141)*INDEX(Routes!$X$6:$X$9,$C141)*F141)&lt;=4,2.9+0.75*((INDEX(Routes!$L$6:$L$9,$C141)*INDEX(Routes!$X$6:$X$9,$C141)*F141)-3),IF((INDEX(Routes!$L$6:$L$9,$C141)*INDEX(Routes!$X$6:$X$9,$C141)*F141)&lt;=5,3.65+0.6*((INDEX(Routes!$L$6:$L$9,$C141)*INDEX(Routes!$X$6:$X$9,$C141)*F141)-4),4.25+0.5*((INDEX(Routes!$L$6:$L$9,$C141)*INDEX(Routes!$X$6:$X$9,$C141)*F141)-5)))))</f>
        <v>19557.6</v>
      </c>
      <c r="AO141" s="67" t="n">
        <f aca="false">LOA_ft*Port_Tariffs!$C$9*IF((INDEX(Routes!$M$6:$M$9,$C141)*INDEX(Routes!$Y$6:$Y$9,$C141)*F141)&lt;=2,(INDEX(Routes!$M$6:$M$9,$C141)*INDEX(Routes!$Y$6:$Y$9,$C141)*F141),IF((INDEX(Routes!$M$6:$M$9,$C141)*INDEX(Routes!$Y$6:$Y$9,$C141)*F141)&lt;=3,2+0.9*((INDEX(Routes!$M$6:$M$9,$C141)*INDEX(Routes!$Y$6:$Y$9,$C141)*F141)-2),IF((INDEX(Routes!$M$6:$M$9,$C141)*INDEX(Routes!$Y$6:$Y$9,$C141)*F141)&lt;=4,2.9+0.75*((INDEX(Routes!$M$6:$M$9,$C141)*INDEX(Routes!$Y$6:$Y$9,$C141)*F141)-3),IF((INDEX(Routes!$M$6:$M$9,$C141)*INDEX(Routes!$Y$6:$Y$9,$C141)*F141)&lt;=5,3.65+0.6*((INDEX(Routes!$M$6:$M$9,$C141)*INDEX(Routes!$Y$6:$Y$9,$C141)*F141)-4),4.25+0.5*((INDEX(Routes!$M$6:$M$9,$C141)*INDEX(Routes!$Y$6:$Y$9,$C141)*F141)-5)))))</f>
        <v>0</v>
      </c>
    </row>
    <row r="142" customFormat="false" ht="15" hidden="false" customHeight="false" outlineLevel="0" collapsed="false">
      <c r="A142" s="2" t="s">
        <v>638</v>
      </c>
      <c r="B142" s="2" t="s">
        <v>630</v>
      </c>
      <c r="C142" s="16" t="n">
        <f aca="false">Sw_Route</f>
        <v>1</v>
      </c>
      <c r="D142" s="70" t="n">
        <v>70</v>
      </c>
      <c r="E142" s="92" t="n">
        <v>0.9</v>
      </c>
      <c r="F142" s="88" t="n">
        <f aca="false">PortMult</f>
        <v>1</v>
      </c>
      <c r="G142" s="89" t="n">
        <f aca="false">UtilFH</f>
        <v>0.85</v>
      </c>
      <c r="H142" s="89" t="n">
        <f aca="false">UtilBH</f>
        <v>0.5</v>
      </c>
      <c r="I142" s="90" t="n">
        <f aca="false">Speed</f>
        <v>13.5</v>
      </c>
      <c r="J142" s="88" t="n">
        <f aca="false">PortCostMult</f>
        <v>1</v>
      </c>
      <c r="K142" s="90" t="n">
        <f aca="false">EUA</f>
        <v>75</v>
      </c>
      <c r="L142" s="71" t="n">
        <f aca="false">INDEX(Routes!$E$6:$E$9,$C142)</f>
        <v>5000</v>
      </c>
      <c r="M142" s="72" t="n">
        <f aca="false">INDEX(Routes!$F$6:$F$9,$C142)/L142</f>
        <v>0.13</v>
      </c>
      <c r="N142" s="77" t="n">
        <f aca="false">2*L142*(1+SeaMargin)/(I142*24)</f>
        <v>32.4074074074074</v>
      </c>
      <c r="O142" s="84" t="n">
        <f aca="false">(I142/RefSpeed)^SpeedExp</f>
        <v>1</v>
      </c>
      <c r="P142" s="2" t="n">
        <f aca="false">IF(H142&gt;0,1,0)</f>
        <v>1</v>
      </c>
      <c r="Q142" s="71" t="n">
        <f aca="false">N142/2*O142*(ConsLaden+IF(P142=1,ConsLaden,ConsBallast))</f>
        <v>875</v>
      </c>
      <c r="R142" s="71" t="n">
        <f aca="false">Q142*(1-M142)</f>
        <v>761.25</v>
      </c>
      <c r="S142" s="71" t="n">
        <f aca="false">Q142*M142</f>
        <v>113.75</v>
      </c>
      <c r="T142" s="2" t="n">
        <f aca="false">1+P142</f>
        <v>2</v>
      </c>
      <c r="U142" s="77" t="n">
        <f aca="false">INDEX(Routes!$L$6:$L$9,$C142)*T142*F142</f>
        <v>10</v>
      </c>
      <c r="V142" s="77" t="n">
        <f aca="false">INDEX(Routes!$M$6:$M$9,$C142)*T142*F142</f>
        <v>7</v>
      </c>
      <c r="W142" s="77" t="n">
        <f aca="false">INDEX(Routes!$H$6:$H$9,$C142)*2</f>
        <v>0</v>
      </c>
      <c r="X142" s="71" t="n">
        <f aca="false">(U142+V142+W142)*ConsPort</f>
        <v>102</v>
      </c>
      <c r="Y142" s="67" t="n">
        <f aca="false">R142*D142*VLSFO_Mult+(S142+X142)*D142*MGO_Mult</f>
        <v>556808</v>
      </c>
      <c r="Z142" s="67" t="n">
        <f aca="false">(INDEX(Routes!$N$6:$N$9,$C142)+AN142+MIN(AC142*INDEX(Routes!$T$6:$T$9,$C142),INDEX(Routes!$V$6:$V$9,$C142))+INDEX(Routes!$O$6:$O$9,$C142)+AO142+MIN(AC142*INDEX(Routes!$U$6:$U$9,$C142),INDEX(Routes!$W$6:$W$9,$C142))+IF(P142=1,INDEX(Routes!$N$6:$N$9,$C142)+AN142+MIN(AD142*INDEX(Routes!$T$6:$T$9,$C142),INDEX(Routes!$V$6:$V$9,$C142))+INDEX(Routes!$O$6:$O$9,$C142)+AO142+MIN(AD142*INDEX(Routes!$U$6:$U$9,$C142),INDEX(Routes!$W$6:$W$9,$C142)),0))*J142</f>
        <v>252304.2096</v>
      </c>
      <c r="AA142" s="67" t="n">
        <f aca="false">INDEX(Routes!$R$6:$R$9,$C142)+IF(P142=1,INDEX(Routes!$R$6:$R$9,$C142),INDEX(Routes!$S$6:$S$9,$C142))</f>
        <v>0</v>
      </c>
      <c r="AB142" s="67" t="n">
        <f aca="false">((R142*CO2_VLSFO+S142*CO2_MGO)*INDEX(Routes!$I$6:$I$9,$C142)+(U142*INDEX(Routes!$P$6:$P$9,$C142)+V142*INDEX(Routes!$Q$6:$Q$9,$C142))*ConsPort*CO2_MGO)*PhaseIn*K142*FX</f>
        <v>123936.40875</v>
      </c>
      <c r="AC142" s="71" t="n">
        <f aca="false">Capacity*G142</f>
        <v>30600</v>
      </c>
      <c r="AD142" s="71" t="n">
        <f aca="false">Capacity*H142</f>
        <v>18000</v>
      </c>
      <c r="AE142" s="82" t="n">
        <f aca="false">INDEX(Routes!$J$6:$J$9,$C142)*E142</f>
        <v>46.8</v>
      </c>
      <c r="AF142" s="82" t="n">
        <f aca="false">INDEX(Routes!$K$6:$K$9,$C142)*E142</f>
        <v>34.2</v>
      </c>
      <c r="AG142" s="67" t="n">
        <f aca="false">AC142*AE142+AD142*AF142</f>
        <v>2047680</v>
      </c>
      <c r="AH142" s="67" t="n">
        <f aca="false">AG142*Commission</f>
        <v>51192</v>
      </c>
      <c r="AI142" s="67" t="n">
        <f aca="false">Y142+Z142+AA142+AB142+MiscVoy</f>
        <v>958048.61835</v>
      </c>
      <c r="AJ142" s="77" t="n">
        <f aca="false">N142+U142+V142+W142</f>
        <v>49.4074074074074</v>
      </c>
      <c r="AK142" s="94" t="n">
        <f aca="false">(AG142-AH142-AI142)/AJ142</f>
        <v>21017.8885341454</v>
      </c>
      <c r="AL142" s="67" t="n">
        <f aca="false">AG142-AH142-AI142-Benchmark*AJ142</f>
        <v>149106.048316667</v>
      </c>
      <c r="AM142" s="82" t="n">
        <f aca="false">IF(AC142&gt;0,((Benchmark*AJ142+AI142)/(1-Commission)-AD142*AF142)/AC142,0)</f>
        <v>41.8023111004972</v>
      </c>
      <c r="AN142" s="67" t="n">
        <f aca="false">LOA_ft*Port_Tariffs!$C$9*IF((INDEX(Routes!$L$6:$L$9,$C142)*INDEX(Routes!$X$6:$X$9,$C142)*F142)&lt;=2,(INDEX(Routes!$L$6:$L$9,$C142)*INDEX(Routes!$X$6:$X$9,$C142)*F142),IF((INDEX(Routes!$L$6:$L$9,$C142)*INDEX(Routes!$X$6:$X$9,$C142)*F142)&lt;=3,2+0.9*((INDEX(Routes!$L$6:$L$9,$C142)*INDEX(Routes!$X$6:$X$9,$C142)*F142)-2),IF((INDEX(Routes!$L$6:$L$9,$C142)*INDEX(Routes!$X$6:$X$9,$C142)*F142)&lt;=4,2.9+0.75*((INDEX(Routes!$L$6:$L$9,$C142)*INDEX(Routes!$X$6:$X$9,$C142)*F142)-3),IF((INDEX(Routes!$L$6:$L$9,$C142)*INDEX(Routes!$X$6:$X$9,$C142)*F142)&lt;=5,3.65+0.6*((INDEX(Routes!$L$6:$L$9,$C142)*INDEX(Routes!$X$6:$X$9,$C142)*F142)-4),4.25+0.5*((INDEX(Routes!$L$6:$L$9,$C142)*INDEX(Routes!$X$6:$X$9,$C142)*F142)-5)))))</f>
        <v>19557.6</v>
      </c>
      <c r="AO142" s="67" t="n">
        <f aca="false">LOA_ft*Port_Tariffs!$C$9*IF((INDEX(Routes!$M$6:$M$9,$C142)*INDEX(Routes!$Y$6:$Y$9,$C142)*F142)&lt;=2,(INDEX(Routes!$M$6:$M$9,$C142)*INDEX(Routes!$Y$6:$Y$9,$C142)*F142),IF((INDEX(Routes!$M$6:$M$9,$C142)*INDEX(Routes!$Y$6:$Y$9,$C142)*F142)&lt;=3,2+0.9*((INDEX(Routes!$M$6:$M$9,$C142)*INDEX(Routes!$Y$6:$Y$9,$C142)*F142)-2),IF((INDEX(Routes!$M$6:$M$9,$C142)*INDEX(Routes!$Y$6:$Y$9,$C142)*F142)&lt;=4,2.9+0.75*((INDEX(Routes!$M$6:$M$9,$C142)*INDEX(Routes!$Y$6:$Y$9,$C142)*F142)-3),IF((INDEX(Routes!$M$6:$M$9,$C142)*INDEX(Routes!$Y$6:$Y$9,$C142)*F142)&lt;=5,3.65+0.6*((INDEX(Routes!$M$6:$M$9,$C142)*INDEX(Routes!$Y$6:$Y$9,$C142)*F142)-4),4.25+0.5*((INDEX(Routes!$M$6:$M$9,$C142)*INDEX(Routes!$Y$6:$Y$9,$C142)*F142)-5)))))</f>
        <v>0</v>
      </c>
    </row>
    <row r="143" customFormat="false" ht="15" hidden="false" customHeight="false" outlineLevel="0" collapsed="false">
      <c r="A143" s="2" t="s">
        <v>639</v>
      </c>
      <c r="B143" s="2" t="s">
        <v>630</v>
      </c>
      <c r="C143" s="16" t="n">
        <f aca="false">Sw_Route</f>
        <v>1</v>
      </c>
      <c r="D143" s="70" t="n">
        <v>80</v>
      </c>
      <c r="E143" s="92" t="n">
        <v>0.9</v>
      </c>
      <c r="F143" s="88" t="n">
        <f aca="false">PortMult</f>
        <v>1</v>
      </c>
      <c r="G143" s="89" t="n">
        <f aca="false">UtilFH</f>
        <v>0.85</v>
      </c>
      <c r="H143" s="89" t="n">
        <f aca="false">UtilBH</f>
        <v>0.5</v>
      </c>
      <c r="I143" s="90" t="n">
        <f aca="false">Speed</f>
        <v>13.5</v>
      </c>
      <c r="J143" s="88" t="n">
        <f aca="false">PortCostMult</f>
        <v>1</v>
      </c>
      <c r="K143" s="90" t="n">
        <f aca="false">EUA</f>
        <v>75</v>
      </c>
      <c r="L143" s="71" t="n">
        <f aca="false">INDEX(Routes!$E$6:$E$9,$C143)</f>
        <v>5000</v>
      </c>
      <c r="M143" s="72" t="n">
        <f aca="false">INDEX(Routes!$F$6:$F$9,$C143)/L143</f>
        <v>0.13</v>
      </c>
      <c r="N143" s="77" t="n">
        <f aca="false">2*L143*(1+SeaMargin)/(I143*24)</f>
        <v>32.4074074074074</v>
      </c>
      <c r="O143" s="84" t="n">
        <f aca="false">(I143/RefSpeed)^SpeedExp</f>
        <v>1</v>
      </c>
      <c r="P143" s="2" t="n">
        <f aca="false">IF(H143&gt;0,1,0)</f>
        <v>1</v>
      </c>
      <c r="Q143" s="71" t="n">
        <f aca="false">N143/2*O143*(ConsLaden+IF(P143=1,ConsLaden,ConsBallast))</f>
        <v>875</v>
      </c>
      <c r="R143" s="71" t="n">
        <f aca="false">Q143*(1-M143)</f>
        <v>761.25</v>
      </c>
      <c r="S143" s="71" t="n">
        <f aca="false">Q143*M143</f>
        <v>113.75</v>
      </c>
      <c r="T143" s="2" t="n">
        <f aca="false">1+P143</f>
        <v>2</v>
      </c>
      <c r="U143" s="77" t="n">
        <f aca="false">INDEX(Routes!$L$6:$L$9,$C143)*T143*F143</f>
        <v>10</v>
      </c>
      <c r="V143" s="77" t="n">
        <f aca="false">INDEX(Routes!$M$6:$M$9,$C143)*T143*F143</f>
        <v>7</v>
      </c>
      <c r="W143" s="77" t="n">
        <f aca="false">INDEX(Routes!$H$6:$H$9,$C143)*2</f>
        <v>0</v>
      </c>
      <c r="X143" s="71" t="n">
        <f aca="false">(U143+V143+W143)*ConsPort</f>
        <v>102</v>
      </c>
      <c r="Y143" s="67" t="n">
        <f aca="false">R143*D143*VLSFO_Mult+(S143+X143)*D143*MGO_Mult</f>
        <v>636352</v>
      </c>
      <c r="Z143" s="67" t="n">
        <f aca="false">(INDEX(Routes!$N$6:$N$9,$C143)+AN143+MIN(AC143*INDEX(Routes!$T$6:$T$9,$C143),INDEX(Routes!$V$6:$V$9,$C143))+INDEX(Routes!$O$6:$O$9,$C143)+AO143+MIN(AC143*INDEX(Routes!$U$6:$U$9,$C143),INDEX(Routes!$W$6:$W$9,$C143))+IF(P143=1,INDEX(Routes!$N$6:$N$9,$C143)+AN143+MIN(AD143*INDEX(Routes!$T$6:$T$9,$C143),INDEX(Routes!$V$6:$V$9,$C143))+INDEX(Routes!$O$6:$O$9,$C143)+AO143+MIN(AD143*INDEX(Routes!$U$6:$U$9,$C143),INDEX(Routes!$W$6:$W$9,$C143)),0))*J143</f>
        <v>252304.2096</v>
      </c>
      <c r="AA143" s="67" t="n">
        <f aca="false">INDEX(Routes!$R$6:$R$9,$C143)+IF(P143=1,INDEX(Routes!$R$6:$R$9,$C143),INDEX(Routes!$S$6:$S$9,$C143))</f>
        <v>0</v>
      </c>
      <c r="AB143" s="67" t="n">
        <f aca="false">((R143*CO2_VLSFO+S143*CO2_MGO)*INDEX(Routes!$I$6:$I$9,$C143)+(U143*INDEX(Routes!$P$6:$P$9,$C143)+V143*INDEX(Routes!$Q$6:$Q$9,$C143))*ConsPort*CO2_MGO)*PhaseIn*K143*FX</f>
        <v>123936.40875</v>
      </c>
      <c r="AC143" s="71" t="n">
        <f aca="false">Capacity*G143</f>
        <v>30600</v>
      </c>
      <c r="AD143" s="71" t="n">
        <f aca="false">Capacity*H143</f>
        <v>18000</v>
      </c>
      <c r="AE143" s="82" t="n">
        <f aca="false">INDEX(Routes!$J$6:$J$9,$C143)*E143</f>
        <v>46.8</v>
      </c>
      <c r="AF143" s="82" t="n">
        <f aca="false">INDEX(Routes!$K$6:$K$9,$C143)*E143</f>
        <v>34.2</v>
      </c>
      <c r="AG143" s="67" t="n">
        <f aca="false">AC143*AE143+AD143*AF143</f>
        <v>2047680</v>
      </c>
      <c r="AH143" s="67" t="n">
        <f aca="false">AG143*Commission</f>
        <v>51192</v>
      </c>
      <c r="AI143" s="67" t="n">
        <f aca="false">Y143+Z143+AA143+AB143+MiscVoy</f>
        <v>1037592.61835</v>
      </c>
      <c r="AJ143" s="77" t="n">
        <f aca="false">N143+U143+V143+W143</f>
        <v>49.4074074074074</v>
      </c>
      <c r="AK143" s="94" t="n">
        <f aca="false">(AG143-AH143-AI143)/AJ143</f>
        <v>19407.9275146552</v>
      </c>
      <c r="AL143" s="67" t="n">
        <f aca="false">AG143-AH143-AI143-Benchmark*AJ143</f>
        <v>69562.0483166671</v>
      </c>
      <c r="AM143" s="82" t="n">
        <f aca="false">IF(AC143&gt;0,((Benchmark*AJ143+AI143)/(1-Commission)-AD143*AF143)/AC143,0)</f>
        <v>44.4684414842746</v>
      </c>
      <c r="AN143" s="67" t="n">
        <f aca="false">LOA_ft*Port_Tariffs!$C$9*IF((INDEX(Routes!$L$6:$L$9,$C143)*INDEX(Routes!$X$6:$X$9,$C143)*F143)&lt;=2,(INDEX(Routes!$L$6:$L$9,$C143)*INDEX(Routes!$X$6:$X$9,$C143)*F143),IF((INDEX(Routes!$L$6:$L$9,$C143)*INDEX(Routes!$X$6:$X$9,$C143)*F143)&lt;=3,2+0.9*((INDEX(Routes!$L$6:$L$9,$C143)*INDEX(Routes!$X$6:$X$9,$C143)*F143)-2),IF((INDEX(Routes!$L$6:$L$9,$C143)*INDEX(Routes!$X$6:$X$9,$C143)*F143)&lt;=4,2.9+0.75*((INDEX(Routes!$L$6:$L$9,$C143)*INDEX(Routes!$X$6:$X$9,$C143)*F143)-3),IF((INDEX(Routes!$L$6:$L$9,$C143)*INDEX(Routes!$X$6:$X$9,$C143)*F143)&lt;=5,3.65+0.6*((INDEX(Routes!$L$6:$L$9,$C143)*INDEX(Routes!$X$6:$X$9,$C143)*F143)-4),4.25+0.5*((INDEX(Routes!$L$6:$L$9,$C143)*INDEX(Routes!$X$6:$X$9,$C143)*F143)-5)))))</f>
        <v>19557.6</v>
      </c>
      <c r="AO143" s="67" t="n">
        <f aca="false">LOA_ft*Port_Tariffs!$C$9*IF((INDEX(Routes!$M$6:$M$9,$C143)*INDEX(Routes!$Y$6:$Y$9,$C143)*F143)&lt;=2,(INDEX(Routes!$M$6:$M$9,$C143)*INDEX(Routes!$Y$6:$Y$9,$C143)*F143),IF((INDEX(Routes!$M$6:$M$9,$C143)*INDEX(Routes!$Y$6:$Y$9,$C143)*F143)&lt;=3,2+0.9*((INDEX(Routes!$M$6:$M$9,$C143)*INDEX(Routes!$Y$6:$Y$9,$C143)*F143)-2),IF((INDEX(Routes!$M$6:$M$9,$C143)*INDEX(Routes!$Y$6:$Y$9,$C143)*F143)&lt;=4,2.9+0.75*((INDEX(Routes!$M$6:$M$9,$C143)*INDEX(Routes!$Y$6:$Y$9,$C143)*F143)-3),IF((INDEX(Routes!$M$6:$M$9,$C143)*INDEX(Routes!$Y$6:$Y$9,$C143)*F143)&lt;=5,3.65+0.6*((INDEX(Routes!$M$6:$M$9,$C143)*INDEX(Routes!$Y$6:$Y$9,$C143)*F143)-4),4.25+0.5*((INDEX(Routes!$M$6:$M$9,$C143)*INDEX(Routes!$Y$6:$Y$9,$C143)*F143)-5)))))</f>
        <v>0</v>
      </c>
    </row>
    <row r="144" customFormat="false" ht="15" hidden="false" customHeight="false" outlineLevel="0" collapsed="false">
      <c r="A144" s="2" t="s">
        <v>640</v>
      </c>
      <c r="B144" s="2" t="s">
        <v>630</v>
      </c>
      <c r="C144" s="16" t="n">
        <f aca="false">Sw_Route</f>
        <v>1</v>
      </c>
      <c r="D144" s="70" t="n">
        <v>90</v>
      </c>
      <c r="E144" s="92" t="n">
        <v>0.9</v>
      </c>
      <c r="F144" s="88" t="n">
        <f aca="false">PortMult</f>
        <v>1</v>
      </c>
      <c r="G144" s="89" t="n">
        <f aca="false">UtilFH</f>
        <v>0.85</v>
      </c>
      <c r="H144" s="89" t="n">
        <f aca="false">UtilBH</f>
        <v>0.5</v>
      </c>
      <c r="I144" s="90" t="n">
        <f aca="false">Speed</f>
        <v>13.5</v>
      </c>
      <c r="J144" s="88" t="n">
        <f aca="false">PortCostMult</f>
        <v>1</v>
      </c>
      <c r="K144" s="90" t="n">
        <f aca="false">EUA</f>
        <v>75</v>
      </c>
      <c r="L144" s="71" t="n">
        <f aca="false">INDEX(Routes!$E$6:$E$9,$C144)</f>
        <v>5000</v>
      </c>
      <c r="M144" s="72" t="n">
        <f aca="false">INDEX(Routes!$F$6:$F$9,$C144)/L144</f>
        <v>0.13</v>
      </c>
      <c r="N144" s="77" t="n">
        <f aca="false">2*L144*(1+SeaMargin)/(I144*24)</f>
        <v>32.4074074074074</v>
      </c>
      <c r="O144" s="84" t="n">
        <f aca="false">(I144/RefSpeed)^SpeedExp</f>
        <v>1</v>
      </c>
      <c r="P144" s="2" t="n">
        <f aca="false">IF(H144&gt;0,1,0)</f>
        <v>1</v>
      </c>
      <c r="Q144" s="71" t="n">
        <f aca="false">N144/2*O144*(ConsLaden+IF(P144=1,ConsLaden,ConsBallast))</f>
        <v>875</v>
      </c>
      <c r="R144" s="71" t="n">
        <f aca="false">Q144*(1-M144)</f>
        <v>761.25</v>
      </c>
      <c r="S144" s="71" t="n">
        <f aca="false">Q144*M144</f>
        <v>113.75</v>
      </c>
      <c r="T144" s="2" t="n">
        <f aca="false">1+P144</f>
        <v>2</v>
      </c>
      <c r="U144" s="77" t="n">
        <f aca="false">INDEX(Routes!$L$6:$L$9,$C144)*T144*F144</f>
        <v>10</v>
      </c>
      <c r="V144" s="77" t="n">
        <f aca="false">INDEX(Routes!$M$6:$M$9,$C144)*T144*F144</f>
        <v>7</v>
      </c>
      <c r="W144" s="77" t="n">
        <f aca="false">INDEX(Routes!$H$6:$H$9,$C144)*2</f>
        <v>0</v>
      </c>
      <c r="X144" s="71" t="n">
        <f aca="false">(U144+V144+W144)*ConsPort</f>
        <v>102</v>
      </c>
      <c r="Y144" s="67" t="n">
        <f aca="false">R144*D144*VLSFO_Mult+(S144+X144)*D144*MGO_Mult</f>
        <v>715896</v>
      </c>
      <c r="Z144" s="67" t="n">
        <f aca="false">(INDEX(Routes!$N$6:$N$9,$C144)+AN144+MIN(AC144*INDEX(Routes!$T$6:$T$9,$C144),INDEX(Routes!$V$6:$V$9,$C144))+INDEX(Routes!$O$6:$O$9,$C144)+AO144+MIN(AC144*INDEX(Routes!$U$6:$U$9,$C144),INDEX(Routes!$W$6:$W$9,$C144))+IF(P144=1,INDEX(Routes!$N$6:$N$9,$C144)+AN144+MIN(AD144*INDEX(Routes!$T$6:$T$9,$C144),INDEX(Routes!$V$6:$V$9,$C144))+INDEX(Routes!$O$6:$O$9,$C144)+AO144+MIN(AD144*INDEX(Routes!$U$6:$U$9,$C144),INDEX(Routes!$W$6:$W$9,$C144)),0))*J144</f>
        <v>252304.2096</v>
      </c>
      <c r="AA144" s="67" t="n">
        <f aca="false">INDEX(Routes!$R$6:$R$9,$C144)+IF(P144=1,INDEX(Routes!$R$6:$R$9,$C144),INDEX(Routes!$S$6:$S$9,$C144))</f>
        <v>0</v>
      </c>
      <c r="AB144" s="67" t="n">
        <f aca="false">((R144*CO2_VLSFO+S144*CO2_MGO)*INDEX(Routes!$I$6:$I$9,$C144)+(U144*INDEX(Routes!$P$6:$P$9,$C144)+V144*INDEX(Routes!$Q$6:$Q$9,$C144))*ConsPort*CO2_MGO)*PhaseIn*K144*FX</f>
        <v>123936.40875</v>
      </c>
      <c r="AC144" s="71" t="n">
        <f aca="false">Capacity*G144</f>
        <v>30600</v>
      </c>
      <c r="AD144" s="71" t="n">
        <f aca="false">Capacity*H144</f>
        <v>18000</v>
      </c>
      <c r="AE144" s="82" t="n">
        <f aca="false">INDEX(Routes!$J$6:$J$9,$C144)*E144</f>
        <v>46.8</v>
      </c>
      <c r="AF144" s="82" t="n">
        <f aca="false">INDEX(Routes!$K$6:$K$9,$C144)*E144</f>
        <v>34.2</v>
      </c>
      <c r="AG144" s="67" t="n">
        <f aca="false">AC144*AE144+AD144*AF144</f>
        <v>2047680</v>
      </c>
      <c r="AH144" s="67" t="n">
        <f aca="false">AG144*Commission</f>
        <v>51192</v>
      </c>
      <c r="AI144" s="67" t="n">
        <f aca="false">Y144+Z144+AA144+AB144+MiscVoy</f>
        <v>1117136.61835</v>
      </c>
      <c r="AJ144" s="77" t="n">
        <f aca="false">N144+U144+V144+W144</f>
        <v>49.4074074074074</v>
      </c>
      <c r="AK144" s="94" t="n">
        <f aca="false">(AG144-AH144-AI144)/AJ144</f>
        <v>17797.9664951649</v>
      </c>
      <c r="AL144" s="67" t="n">
        <f aca="false">AG144-AH144-AI144-Benchmark*AJ144</f>
        <v>-9981.95168333291</v>
      </c>
      <c r="AM144" s="82" t="n">
        <f aca="false">IF(AC144&gt;0,((Benchmark*AJ144+AI144)/(1-Commission)-AD144*AF144)/AC144,0)</f>
        <v>47.1345718680521</v>
      </c>
      <c r="AN144" s="67" t="n">
        <f aca="false">LOA_ft*Port_Tariffs!$C$9*IF((INDEX(Routes!$L$6:$L$9,$C144)*INDEX(Routes!$X$6:$X$9,$C144)*F144)&lt;=2,(INDEX(Routes!$L$6:$L$9,$C144)*INDEX(Routes!$X$6:$X$9,$C144)*F144),IF((INDEX(Routes!$L$6:$L$9,$C144)*INDEX(Routes!$X$6:$X$9,$C144)*F144)&lt;=3,2+0.9*((INDEX(Routes!$L$6:$L$9,$C144)*INDEX(Routes!$X$6:$X$9,$C144)*F144)-2),IF((INDEX(Routes!$L$6:$L$9,$C144)*INDEX(Routes!$X$6:$X$9,$C144)*F144)&lt;=4,2.9+0.75*((INDEX(Routes!$L$6:$L$9,$C144)*INDEX(Routes!$X$6:$X$9,$C144)*F144)-3),IF((INDEX(Routes!$L$6:$L$9,$C144)*INDEX(Routes!$X$6:$X$9,$C144)*F144)&lt;=5,3.65+0.6*((INDEX(Routes!$L$6:$L$9,$C144)*INDEX(Routes!$X$6:$X$9,$C144)*F144)-4),4.25+0.5*((INDEX(Routes!$L$6:$L$9,$C144)*INDEX(Routes!$X$6:$X$9,$C144)*F144)-5)))))</f>
        <v>19557.6</v>
      </c>
      <c r="AO144" s="67" t="n">
        <f aca="false">LOA_ft*Port_Tariffs!$C$9*IF((INDEX(Routes!$M$6:$M$9,$C144)*INDEX(Routes!$Y$6:$Y$9,$C144)*F144)&lt;=2,(INDEX(Routes!$M$6:$M$9,$C144)*INDEX(Routes!$Y$6:$Y$9,$C144)*F144),IF((INDEX(Routes!$M$6:$M$9,$C144)*INDEX(Routes!$Y$6:$Y$9,$C144)*F144)&lt;=3,2+0.9*((INDEX(Routes!$M$6:$M$9,$C144)*INDEX(Routes!$Y$6:$Y$9,$C144)*F144)-2),IF((INDEX(Routes!$M$6:$M$9,$C144)*INDEX(Routes!$Y$6:$Y$9,$C144)*F144)&lt;=4,2.9+0.75*((INDEX(Routes!$M$6:$M$9,$C144)*INDEX(Routes!$Y$6:$Y$9,$C144)*F144)-3),IF((INDEX(Routes!$M$6:$M$9,$C144)*INDEX(Routes!$Y$6:$Y$9,$C144)*F144)&lt;=5,3.65+0.6*((INDEX(Routes!$M$6:$M$9,$C144)*INDEX(Routes!$Y$6:$Y$9,$C144)*F144)-4),4.25+0.5*((INDEX(Routes!$M$6:$M$9,$C144)*INDEX(Routes!$Y$6:$Y$9,$C144)*F144)-5)))))</f>
        <v>0</v>
      </c>
    </row>
    <row r="145" customFormat="false" ht="15" hidden="false" customHeight="false" outlineLevel="0" collapsed="false">
      <c r="A145" s="2" t="s">
        <v>641</v>
      </c>
      <c r="B145" s="2" t="s">
        <v>630</v>
      </c>
      <c r="C145" s="16" t="n">
        <f aca="false">Sw_Route</f>
        <v>1</v>
      </c>
      <c r="D145" s="70" t="n">
        <v>100</v>
      </c>
      <c r="E145" s="92" t="n">
        <v>0.9</v>
      </c>
      <c r="F145" s="88" t="n">
        <f aca="false">PortMult</f>
        <v>1</v>
      </c>
      <c r="G145" s="89" t="n">
        <f aca="false">UtilFH</f>
        <v>0.85</v>
      </c>
      <c r="H145" s="89" t="n">
        <f aca="false">UtilBH</f>
        <v>0.5</v>
      </c>
      <c r="I145" s="90" t="n">
        <f aca="false">Speed</f>
        <v>13.5</v>
      </c>
      <c r="J145" s="88" t="n">
        <f aca="false">PortCostMult</f>
        <v>1</v>
      </c>
      <c r="K145" s="90" t="n">
        <f aca="false">EUA</f>
        <v>75</v>
      </c>
      <c r="L145" s="71" t="n">
        <f aca="false">INDEX(Routes!$E$6:$E$9,$C145)</f>
        <v>5000</v>
      </c>
      <c r="M145" s="72" t="n">
        <f aca="false">INDEX(Routes!$F$6:$F$9,$C145)/L145</f>
        <v>0.13</v>
      </c>
      <c r="N145" s="77" t="n">
        <f aca="false">2*L145*(1+SeaMargin)/(I145*24)</f>
        <v>32.4074074074074</v>
      </c>
      <c r="O145" s="84" t="n">
        <f aca="false">(I145/RefSpeed)^SpeedExp</f>
        <v>1</v>
      </c>
      <c r="P145" s="2" t="n">
        <f aca="false">IF(H145&gt;0,1,0)</f>
        <v>1</v>
      </c>
      <c r="Q145" s="71" t="n">
        <f aca="false">N145/2*O145*(ConsLaden+IF(P145=1,ConsLaden,ConsBallast))</f>
        <v>875</v>
      </c>
      <c r="R145" s="71" t="n">
        <f aca="false">Q145*(1-M145)</f>
        <v>761.25</v>
      </c>
      <c r="S145" s="71" t="n">
        <f aca="false">Q145*M145</f>
        <v>113.75</v>
      </c>
      <c r="T145" s="2" t="n">
        <f aca="false">1+P145</f>
        <v>2</v>
      </c>
      <c r="U145" s="77" t="n">
        <f aca="false">INDEX(Routes!$L$6:$L$9,$C145)*T145*F145</f>
        <v>10</v>
      </c>
      <c r="V145" s="77" t="n">
        <f aca="false">INDEX(Routes!$M$6:$M$9,$C145)*T145*F145</f>
        <v>7</v>
      </c>
      <c r="W145" s="77" t="n">
        <f aca="false">INDEX(Routes!$H$6:$H$9,$C145)*2</f>
        <v>0</v>
      </c>
      <c r="X145" s="71" t="n">
        <f aca="false">(U145+V145+W145)*ConsPort</f>
        <v>102</v>
      </c>
      <c r="Y145" s="67" t="n">
        <f aca="false">R145*D145*VLSFO_Mult+(S145+X145)*D145*MGO_Mult</f>
        <v>795440</v>
      </c>
      <c r="Z145" s="67" t="n">
        <f aca="false">(INDEX(Routes!$N$6:$N$9,$C145)+AN145+MIN(AC145*INDEX(Routes!$T$6:$T$9,$C145),INDEX(Routes!$V$6:$V$9,$C145))+INDEX(Routes!$O$6:$O$9,$C145)+AO145+MIN(AC145*INDEX(Routes!$U$6:$U$9,$C145),INDEX(Routes!$W$6:$W$9,$C145))+IF(P145=1,INDEX(Routes!$N$6:$N$9,$C145)+AN145+MIN(AD145*INDEX(Routes!$T$6:$T$9,$C145),INDEX(Routes!$V$6:$V$9,$C145))+INDEX(Routes!$O$6:$O$9,$C145)+AO145+MIN(AD145*INDEX(Routes!$U$6:$U$9,$C145),INDEX(Routes!$W$6:$W$9,$C145)),0))*J145</f>
        <v>252304.2096</v>
      </c>
      <c r="AA145" s="67" t="n">
        <f aca="false">INDEX(Routes!$R$6:$R$9,$C145)+IF(P145=1,INDEX(Routes!$R$6:$R$9,$C145),INDEX(Routes!$S$6:$S$9,$C145))</f>
        <v>0</v>
      </c>
      <c r="AB145" s="67" t="n">
        <f aca="false">((R145*CO2_VLSFO+S145*CO2_MGO)*INDEX(Routes!$I$6:$I$9,$C145)+(U145*INDEX(Routes!$P$6:$P$9,$C145)+V145*INDEX(Routes!$Q$6:$Q$9,$C145))*ConsPort*CO2_MGO)*PhaseIn*K145*FX</f>
        <v>123936.40875</v>
      </c>
      <c r="AC145" s="71" t="n">
        <f aca="false">Capacity*G145</f>
        <v>30600</v>
      </c>
      <c r="AD145" s="71" t="n">
        <f aca="false">Capacity*H145</f>
        <v>18000</v>
      </c>
      <c r="AE145" s="82" t="n">
        <f aca="false">INDEX(Routes!$J$6:$J$9,$C145)*E145</f>
        <v>46.8</v>
      </c>
      <c r="AF145" s="82" t="n">
        <f aca="false">INDEX(Routes!$K$6:$K$9,$C145)*E145</f>
        <v>34.2</v>
      </c>
      <c r="AG145" s="67" t="n">
        <f aca="false">AC145*AE145+AD145*AF145</f>
        <v>2047680</v>
      </c>
      <c r="AH145" s="67" t="n">
        <f aca="false">AG145*Commission</f>
        <v>51192</v>
      </c>
      <c r="AI145" s="67" t="n">
        <f aca="false">Y145+Z145+AA145+AB145+MiscVoy</f>
        <v>1196680.61835</v>
      </c>
      <c r="AJ145" s="77" t="n">
        <f aca="false">N145+U145+V145+W145</f>
        <v>49.4074074074074</v>
      </c>
      <c r="AK145" s="94" t="n">
        <f aca="false">(AG145-AH145-AI145)/AJ145</f>
        <v>16188.0054756747</v>
      </c>
      <c r="AL145" s="67" t="n">
        <f aca="false">AG145-AH145-AI145-Benchmark*AJ145</f>
        <v>-89525.9516833329</v>
      </c>
      <c r="AM145" s="82" t="n">
        <f aca="false">IF(AC145&gt;0,((Benchmark*AJ145+AI145)/(1-Commission)-AD145*AF145)/AC145,0)</f>
        <v>49.8007022518295</v>
      </c>
      <c r="AN145" s="67" t="n">
        <f aca="false">LOA_ft*Port_Tariffs!$C$9*IF((INDEX(Routes!$L$6:$L$9,$C145)*INDEX(Routes!$X$6:$X$9,$C145)*F145)&lt;=2,(INDEX(Routes!$L$6:$L$9,$C145)*INDEX(Routes!$X$6:$X$9,$C145)*F145),IF((INDEX(Routes!$L$6:$L$9,$C145)*INDEX(Routes!$X$6:$X$9,$C145)*F145)&lt;=3,2+0.9*((INDEX(Routes!$L$6:$L$9,$C145)*INDEX(Routes!$X$6:$X$9,$C145)*F145)-2),IF((INDEX(Routes!$L$6:$L$9,$C145)*INDEX(Routes!$X$6:$X$9,$C145)*F145)&lt;=4,2.9+0.75*((INDEX(Routes!$L$6:$L$9,$C145)*INDEX(Routes!$X$6:$X$9,$C145)*F145)-3),IF((INDEX(Routes!$L$6:$L$9,$C145)*INDEX(Routes!$X$6:$X$9,$C145)*F145)&lt;=5,3.65+0.6*((INDEX(Routes!$L$6:$L$9,$C145)*INDEX(Routes!$X$6:$X$9,$C145)*F145)-4),4.25+0.5*((INDEX(Routes!$L$6:$L$9,$C145)*INDEX(Routes!$X$6:$X$9,$C145)*F145)-5)))))</f>
        <v>19557.6</v>
      </c>
      <c r="AO145" s="67" t="n">
        <f aca="false">LOA_ft*Port_Tariffs!$C$9*IF((INDEX(Routes!$M$6:$M$9,$C145)*INDEX(Routes!$Y$6:$Y$9,$C145)*F145)&lt;=2,(INDEX(Routes!$M$6:$M$9,$C145)*INDEX(Routes!$Y$6:$Y$9,$C145)*F145),IF((INDEX(Routes!$M$6:$M$9,$C145)*INDEX(Routes!$Y$6:$Y$9,$C145)*F145)&lt;=3,2+0.9*((INDEX(Routes!$M$6:$M$9,$C145)*INDEX(Routes!$Y$6:$Y$9,$C145)*F145)-2),IF((INDEX(Routes!$M$6:$M$9,$C145)*INDEX(Routes!$Y$6:$Y$9,$C145)*F145)&lt;=4,2.9+0.75*((INDEX(Routes!$M$6:$M$9,$C145)*INDEX(Routes!$Y$6:$Y$9,$C145)*F145)-3),IF((INDEX(Routes!$M$6:$M$9,$C145)*INDEX(Routes!$Y$6:$Y$9,$C145)*F145)&lt;=5,3.65+0.6*((INDEX(Routes!$M$6:$M$9,$C145)*INDEX(Routes!$Y$6:$Y$9,$C145)*F145)-4),4.25+0.5*((INDEX(Routes!$M$6:$M$9,$C145)*INDEX(Routes!$Y$6:$Y$9,$C145)*F145)-5)))))</f>
        <v>0</v>
      </c>
    </row>
    <row r="146" customFormat="false" ht="15" hidden="false" customHeight="false" outlineLevel="0" collapsed="false">
      <c r="A146" s="2" t="s">
        <v>642</v>
      </c>
      <c r="B146" s="2" t="s">
        <v>630</v>
      </c>
      <c r="C146" s="16" t="n">
        <f aca="false">Sw_Route</f>
        <v>1</v>
      </c>
      <c r="D146" s="70" t="n">
        <v>110</v>
      </c>
      <c r="E146" s="92" t="n">
        <v>0.9</v>
      </c>
      <c r="F146" s="88" t="n">
        <f aca="false">PortMult</f>
        <v>1</v>
      </c>
      <c r="G146" s="89" t="n">
        <f aca="false">UtilFH</f>
        <v>0.85</v>
      </c>
      <c r="H146" s="89" t="n">
        <f aca="false">UtilBH</f>
        <v>0.5</v>
      </c>
      <c r="I146" s="90" t="n">
        <f aca="false">Speed</f>
        <v>13.5</v>
      </c>
      <c r="J146" s="88" t="n">
        <f aca="false">PortCostMult</f>
        <v>1</v>
      </c>
      <c r="K146" s="90" t="n">
        <f aca="false">EUA</f>
        <v>75</v>
      </c>
      <c r="L146" s="71" t="n">
        <f aca="false">INDEX(Routes!$E$6:$E$9,$C146)</f>
        <v>5000</v>
      </c>
      <c r="M146" s="72" t="n">
        <f aca="false">INDEX(Routes!$F$6:$F$9,$C146)/L146</f>
        <v>0.13</v>
      </c>
      <c r="N146" s="77" t="n">
        <f aca="false">2*L146*(1+SeaMargin)/(I146*24)</f>
        <v>32.4074074074074</v>
      </c>
      <c r="O146" s="84" t="n">
        <f aca="false">(I146/RefSpeed)^SpeedExp</f>
        <v>1</v>
      </c>
      <c r="P146" s="2" t="n">
        <f aca="false">IF(H146&gt;0,1,0)</f>
        <v>1</v>
      </c>
      <c r="Q146" s="71" t="n">
        <f aca="false">N146/2*O146*(ConsLaden+IF(P146=1,ConsLaden,ConsBallast))</f>
        <v>875</v>
      </c>
      <c r="R146" s="71" t="n">
        <f aca="false">Q146*(1-M146)</f>
        <v>761.25</v>
      </c>
      <c r="S146" s="71" t="n">
        <f aca="false">Q146*M146</f>
        <v>113.75</v>
      </c>
      <c r="T146" s="2" t="n">
        <f aca="false">1+P146</f>
        <v>2</v>
      </c>
      <c r="U146" s="77" t="n">
        <f aca="false">INDEX(Routes!$L$6:$L$9,$C146)*T146*F146</f>
        <v>10</v>
      </c>
      <c r="V146" s="77" t="n">
        <f aca="false">INDEX(Routes!$M$6:$M$9,$C146)*T146*F146</f>
        <v>7</v>
      </c>
      <c r="W146" s="77" t="n">
        <f aca="false">INDEX(Routes!$H$6:$H$9,$C146)*2</f>
        <v>0</v>
      </c>
      <c r="X146" s="71" t="n">
        <f aca="false">(U146+V146+W146)*ConsPort</f>
        <v>102</v>
      </c>
      <c r="Y146" s="67" t="n">
        <f aca="false">R146*D146*VLSFO_Mult+(S146+X146)*D146*MGO_Mult</f>
        <v>874984</v>
      </c>
      <c r="Z146" s="67" t="n">
        <f aca="false">(INDEX(Routes!$N$6:$N$9,$C146)+AN146+MIN(AC146*INDEX(Routes!$T$6:$T$9,$C146),INDEX(Routes!$V$6:$V$9,$C146))+INDEX(Routes!$O$6:$O$9,$C146)+AO146+MIN(AC146*INDEX(Routes!$U$6:$U$9,$C146),INDEX(Routes!$W$6:$W$9,$C146))+IF(P146=1,INDEX(Routes!$N$6:$N$9,$C146)+AN146+MIN(AD146*INDEX(Routes!$T$6:$T$9,$C146),INDEX(Routes!$V$6:$V$9,$C146))+INDEX(Routes!$O$6:$O$9,$C146)+AO146+MIN(AD146*INDEX(Routes!$U$6:$U$9,$C146),INDEX(Routes!$W$6:$W$9,$C146)),0))*J146</f>
        <v>252304.2096</v>
      </c>
      <c r="AA146" s="67" t="n">
        <f aca="false">INDEX(Routes!$R$6:$R$9,$C146)+IF(P146=1,INDEX(Routes!$R$6:$R$9,$C146),INDEX(Routes!$S$6:$S$9,$C146))</f>
        <v>0</v>
      </c>
      <c r="AB146" s="67" t="n">
        <f aca="false">((R146*CO2_VLSFO+S146*CO2_MGO)*INDEX(Routes!$I$6:$I$9,$C146)+(U146*INDEX(Routes!$P$6:$P$9,$C146)+V146*INDEX(Routes!$Q$6:$Q$9,$C146))*ConsPort*CO2_MGO)*PhaseIn*K146*FX</f>
        <v>123936.40875</v>
      </c>
      <c r="AC146" s="71" t="n">
        <f aca="false">Capacity*G146</f>
        <v>30600</v>
      </c>
      <c r="AD146" s="71" t="n">
        <f aca="false">Capacity*H146</f>
        <v>18000</v>
      </c>
      <c r="AE146" s="82" t="n">
        <f aca="false">INDEX(Routes!$J$6:$J$9,$C146)*E146</f>
        <v>46.8</v>
      </c>
      <c r="AF146" s="82" t="n">
        <f aca="false">INDEX(Routes!$K$6:$K$9,$C146)*E146</f>
        <v>34.2</v>
      </c>
      <c r="AG146" s="67" t="n">
        <f aca="false">AC146*AE146+AD146*AF146</f>
        <v>2047680</v>
      </c>
      <c r="AH146" s="67" t="n">
        <f aca="false">AG146*Commission</f>
        <v>51192</v>
      </c>
      <c r="AI146" s="67" t="n">
        <f aca="false">Y146+Z146+AA146+AB146+MiscVoy</f>
        <v>1276224.61835</v>
      </c>
      <c r="AJ146" s="77" t="n">
        <f aca="false">N146+U146+V146+W146</f>
        <v>49.4074074074074</v>
      </c>
      <c r="AK146" s="94" t="n">
        <f aca="false">(AG146-AH146-AI146)/AJ146</f>
        <v>14578.0444561844</v>
      </c>
      <c r="AL146" s="67" t="n">
        <f aca="false">AG146-AH146-AI146-Benchmark*AJ146</f>
        <v>-169069.951683333</v>
      </c>
      <c r="AM146" s="82" t="n">
        <f aca="false">IF(AC146&gt;0,((Benchmark*AJ146+AI146)/(1-Commission)-AD146*AF146)/AC146,0)</f>
        <v>52.466832635607</v>
      </c>
      <c r="AN146" s="67" t="n">
        <f aca="false">LOA_ft*Port_Tariffs!$C$9*IF((INDEX(Routes!$L$6:$L$9,$C146)*INDEX(Routes!$X$6:$X$9,$C146)*F146)&lt;=2,(INDEX(Routes!$L$6:$L$9,$C146)*INDEX(Routes!$X$6:$X$9,$C146)*F146),IF((INDEX(Routes!$L$6:$L$9,$C146)*INDEX(Routes!$X$6:$X$9,$C146)*F146)&lt;=3,2+0.9*((INDEX(Routes!$L$6:$L$9,$C146)*INDEX(Routes!$X$6:$X$9,$C146)*F146)-2),IF((INDEX(Routes!$L$6:$L$9,$C146)*INDEX(Routes!$X$6:$X$9,$C146)*F146)&lt;=4,2.9+0.75*((INDEX(Routes!$L$6:$L$9,$C146)*INDEX(Routes!$X$6:$X$9,$C146)*F146)-3),IF((INDEX(Routes!$L$6:$L$9,$C146)*INDEX(Routes!$X$6:$X$9,$C146)*F146)&lt;=5,3.65+0.6*((INDEX(Routes!$L$6:$L$9,$C146)*INDEX(Routes!$X$6:$X$9,$C146)*F146)-4),4.25+0.5*((INDEX(Routes!$L$6:$L$9,$C146)*INDEX(Routes!$X$6:$X$9,$C146)*F146)-5)))))</f>
        <v>19557.6</v>
      </c>
      <c r="AO146" s="67" t="n">
        <f aca="false">LOA_ft*Port_Tariffs!$C$9*IF((INDEX(Routes!$M$6:$M$9,$C146)*INDEX(Routes!$Y$6:$Y$9,$C146)*F146)&lt;=2,(INDEX(Routes!$M$6:$M$9,$C146)*INDEX(Routes!$Y$6:$Y$9,$C146)*F146),IF((INDEX(Routes!$M$6:$M$9,$C146)*INDEX(Routes!$Y$6:$Y$9,$C146)*F146)&lt;=3,2+0.9*((INDEX(Routes!$M$6:$M$9,$C146)*INDEX(Routes!$Y$6:$Y$9,$C146)*F146)-2),IF((INDEX(Routes!$M$6:$M$9,$C146)*INDEX(Routes!$Y$6:$Y$9,$C146)*F146)&lt;=4,2.9+0.75*((INDEX(Routes!$M$6:$M$9,$C146)*INDEX(Routes!$Y$6:$Y$9,$C146)*F146)-3),IF((INDEX(Routes!$M$6:$M$9,$C146)*INDEX(Routes!$Y$6:$Y$9,$C146)*F146)&lt;=5,3.65+0.6*((INDEX(Routes!$M$6:$M$9,$C146)*INDEX(Routes!$Y$6:$Y$9,$C146)*F146)-4),4.25+0.5*((INDEX(Routes!$M$6:$M$9,$C146)*INDEX(Routes!$Y$6:$Y$9,$C146)*F146)-5)))))</f>
        <v>0</v>
      </c>
    </row>
    <row r="147" customFormat="false" ht="15" hidden="false" customHeight="false" outlineLevel="0" collapsed="false">
      <c r="A147" s="2" t="s">
        <v>643</v>
      </c>
      <c r="B147" s="2" t="s">
        <v>630</v>
      </c>
      <c r="C147" s="16" t="n">
        <f aca="false">Sw_Route</f>
        <v>1</v>
      </c>
      <c r="D147" s="70" t="n">
        <v>120</v>
      </c>
      <c r="E147" s="92" t="n">
        <v>0.9</v>
      </c>
      <c r="F147" s="88" t="n">
        <f aca="false">PortMult</f>
        <v>1</v>
      </c>
      <c r="G147" s="89" t="n">
        <f aca="false">UtilFH</f>
        <v>0.85</v>
      </c>
      <c r="H147" s="89" t="n">
        <f aca="false">UtilBH</f>
        <v>0.5</v>
      </c>
      <c r="I147" s="90" t="n">
        <f aca="false">Speed</f>
        <v>13.5</v>
      </c>
      <c r="J147" s="88" t="n">
        <f aca="false">PortCostMult</f>
        <v>1</v>
      </c>
      <c r="K147" s="90" t="n">
        <f aca="false">EUA</f>
        <v>75</v>
      </c>
      <c r="L147" s="71" t="n">
        <f aca="false">INDEX(Routes!$E$6:$E$9,$C147)</f>
        <v>5000</v>
      </c>
      <c r="M147" s="72" t="n">
        <f aca="false">INDEX(Routes!$F$6:$F$9,$C147)/L147</f>
        <v>0.13</v>
      </c>
      <c r="N147" s="77" t="n">
        <f aca="false">2*L147*(1+SeaMargin)/(I147*24)</f>
        <v>32.4074074074074</v>
      </c>
      <c r="O147" s="84" t="n">
        <f aca="false">(I147/RefSpeed)^SpeedExp</f>
        <v>1</v>
      </c>
      <c r="P147" s="2" t="n">
        <f aca="false">IF(H147&gt;0,1,0)</f>
        <v>1</v>
      </c>
      <c r="Q147" s="71" t="n">
        <f aca="false">N147/2*O147*(ConsLaden+IF(P147=1,ConsLaden,ConsBallast))</f>
        <v>875</v>
      </c>
      <c r="R147" s="71" t="n">
        <f aca="false">Q147*(1-M147)</f>
        <v>761.25</v>
      </c>
      <c r="S147" s="71" t="n">
        <f aca="false">Q147*M147</f>
        <v>113.75</v>
      </c>
      <c r="T147" s="2" t="n">
        <f aca="false">1+P147</f>
        <v>2</v>
      </c>
      <c r="U147" s="77" t="n">
        <f aca="false">INDEX(Routes!$L$6:$L$9,$C147)*T147*F147</f>
        <v>10</v>
      </c>
      <c r="V147" s="77" t="n">
        <f aca="false">INDEX(Routes!$M$6:$M$9,$C147)*T147*F147</f>
        <v>7</v>
      </c>
      <c r="W147" s="77" t="n">
        <f aca="false">INDEX(Routes!$H$6:$H$9,$C147)*2</f>
        <v>0</v>
      </c>
      <c r="X147" s="71" t="n">
        <f aca="false">(U147+V147+W147)*ConsPort</f>
        <v>102</v>
      </c>
      <c r="Y147" s="67" t="n">
        <f aca="false">R147*D147*VLSFO_Mult+(S147+X147)*D147*MGO_Mult</f>
        <v>954528</v>
      </c>
      <c r="Z147" s="67" t="n">
        <f aca="false">(INDEX(Routes!$N$6:$N$9,$C147)+AN147+MIN(AC147*INDEX(Routes!$T$6:$T$9,$C147),INDEX(Routes!$V$6:$V$9,$C147))+INDEX(Routes!$O$6:$O$9,$C147)+AO147+MIN(AC147*INDEX(Routes!$U$6:$U$9,$C147),INDEX(Routes!$W$6:$W$9,$C147))+IF(P147=1,INDEX(Routes!$N$6:$N$9,$C147)+AN147+MIN(AD147*INDEX(Routes!$T$6:$T$9,$C147),INDEX(Routes!$V$6:$V$9,$C147))+INDEX(Routes!$O$6:$O$9,$C147)+AO147+MIN(AD147*INDEX(Routes!$U$6:$U$9,$C147),INDEX(Routes!$W$6:$W$9,$C147)),0))*J147</f>
        <v>252304.2096</v>
      </c>
      <c r="AA147" s="67" t="n">
        <f aca="false">INDEX(Routes!$R$6:$R$9,$C147)+IF(P147=1,INDEX(Routes!$R$6:$R$9,$C147),INDEX(Routes!$S$6:$S$9,$C147))</f>
        <v>0</v>
      </c>
      <c r="AB147" s="67" t="n">
        <f aca="false">((R147*CO2_VLSFO+S147*CO2_MGO)*INDEX(Routes!$I$6:$I$9,$C147)+(U147*INDEX(Routes!$P$6:$P$9,$C147)+V147*INDEX(Routes!$Q$6:$Q$9,$C147))*ConsPort*CO2_MGO)*PhaseIn*K147*FX</f>
        <v>123936.40875</v>
      </c>
      <c r="AC147" s="71" t="n">
        <f aca="false">Capacity*G147</f>
        <v>30600</v>
      </c>
      <c r="AD147" s="71" t="n">
        <f aca="false">Capacity*H147</f>
        <v>18000</v>
      </c>
      <c r="AE147" s="82" t="n">
        <f aca="false">INDEX(Routes!$J$6:$J$9,$C147)*E147</f>
        <v>46.8</v>
      </c>
      <c r="AF147" s="82" t="n">
        <f aca="false">INDEX(Routes!$K$6:$K$9,$C147)*E147</f>
        <v>34.2</v>
      </c>
      <c r="AG147" s="67" t="n">
        <f aca="false">AC147*AE147+AD147*AF147</f>
        <v>2047680</v>
      </c>
      <c r="AH147" s="67" t="n">
        <f aca="false">AG147*Commission</f>
        <v>51192</v>
      </c>
      <c r="AI147" s="67" t="n">
        <f aca="false">Y147+Z147+AA147+AB147+MiscVoy</f>
        <v>1355768.61835</v>
      </c>
      <c r="AJ147" s="77" t="n">
        <f aca="false">N147+U147+V147+W147</f>
        <v>49.4074074074074</v>
      </c>
      <c r="AK147" s="94" t="n">
        <f aca="false">(AG147-AH147-AI147)/AJ147</f>
        <v>12968.0834366942</v>
      </c>
      <c r="AL147" s="67" t="n">
        <f aca="false">AG147-AH147-AI147-Benchmark*AJ147</f>
        <v>-248613.951683333</v>
      </c>
      <c r="AM147" s="82" t="n">
        <f aca="false">IF(AC147&gt;0,((Benchmark*AJ147+AI147)/(1-Commission)-AD147*AF147)/AC147,0)</f>
        <v>55.1329630193844</v>
      </c>
      <c r="AN147" s="67" t="n">
        <f aca="false">LOA_ft*Port_Tariffs!$C$9*IF((INDEX(Routes!$L$6:$L$9,$C147)*INDEX(Routes!$X$6:$X$9,$C147)*F147)&lt;=2,(INDEX(Routes!$L$6:$L$9,$C147)*INDEX(Routes!$X$6:$X$9,$C147)*F147),IF((INDEX(Routes!$L$6:$L$9,$C147)*INDEX(Routes!$X$6:$X$9,$C147)*F147)&lt;=3,2+0.9*((INDEX(Routes!$L$6:$L$9,$C147)*INDEX(Routes!$X$6:$X$9,$C147)*F147)-2),IF((INDEX(Routes!$L$6:$L$9,$C147)*INDEX(Routes!$X$6:$X$9,$C147)*F147)&lt;=4,2.9+0.75*((INDEX(Routes!$L$6:$L$9,$C147)*INDEX(Routes!$X$6:$X$9,$C147)*F147)-3),IF((INDEX(Routes!$L$6:$L$9,$C147)*INDEX(Routes!$X$6:$X$9,$C147)*F147)&lt;=5,3.65+0.6*((INDEX(Routes!$L$6:$L$9,$C147)*INDEX(Routes!$X$6:$X$9,$C147)*F147)-4),4.25+0.5*((INDEX(Routes!$L$6:$L$9,$C147)*INDEX(Routes!$X$6:$X$9,$C147)*F147)-5)))))</f>
        <v>19557.6</v>
      </c>
      <c r="AO147" s="67" t="n">
        <f aca="false">LOA_ft*Port_Tariffs!$C$9*IF((INDEX(Routes!$M$6:$M$9,$C147)*INDEX(Routes!$Y$6:$Y$9,$C147)*F147)&lt;=2,(INDEX(Routes!$M$6:$M$9,$C147)*INDEX(Routes!$Y$6:$Y$9,$C147)*F147),IF((INDEX(Routes!$M$6:$M$9,$C147)*INDEX(Routes!$Y$6:$Y$9,$C147)*F147)&lt;=3,2+0.9*((INDEX(Routes!$M$6:$M$9,$C147)*INDEX(Routes!$Y$6:$Y$9,$C147)*F147)-2),IF((INDEX(Routes!$M$6:$M$9,$C147)*INDEX(Routes!$Y$6:$Y$9,$C147)*F147)&lt;=4,2.9+0.75*((INDEX(Routes!$M$6:$M$9,$C147)*INDEX(Routes!$Y$6:$Y$9,$C147)*F147)-3),IF((INDEX(Routes!$M$6:$M$9,$C147)*INDEX(Routes!$Y$6:$Y$9,$C147)*F147)&lt;=5,3.65+0.6*((INDEX(Routes!$M$6:$M$9,$C147)*INDEX(Routes!$Y$6:$Y$9,$C147)*F147)-4),4.25+0.5*((INDEX(Routes!$M$6:$M$9,$C147)*INDEX(Routes!$Y$6:$Y$9,$C147)*F147)-5)))))</f>
        <v>0</v>
      </c>
    </row>
    <row r="148" customFormat="false" ht="15" hidden="false" customHeight="false" outlineLevel="0" collapsed="false">
      <c r="A148" s="2" t="s">
        <v>644</v>
      </c>
      <c r="B148" s="2" t="s">
        <v>630</v>
      </c>
      <c r="C148" s="16" t="n">
        <f aca="false">Sw_Route</f>
        <v>1</v>
      </c>
      <c r="D148" s="70" t="n">
        <v>60</v>
      </c>
      <c r="E148" s="92" t="n">
        <v>1</v>
      </c>
      <c r="F148" s="88" t="n">
        <f aca="false">PortMult</f>
        <v>1</v>
      </c>
      <c r="G148" s="89" t="n">
        <f aca="false">UtilFH</f>
        <v>0.85</v>
      </c>
      <c r="H148" s="89" t="n">
        <f aca="false">UtilBH</f>
        <v>0.5</v>
      </c>
      <c r="I148" s="90" t="n">
        <f aca="false">Speed</f>
        <v>13.5</v>
      </c>
      <c r="J148" s="88" t="n">
        <f aca="false">PortCostMult</f>
        <v>1</v>
      </c>
      <c r="K148" s="90" t="n">
        <f aca="false">EUA</f>
        <v>75</v>
      </c>
      <c r="L148" s="71" t="n">
        <f aca="false">INDEX(Routes!$E$6:$E$9,$C148)</f>
        <v>5000</v>
      </c>
      <c r="M148" s="72" t="n">
        <f aca="false">INDEX(Routes!$F$6:$F$9,$C148)/L148</f>
        <v>0.13</v>
      </c>
      <c r="N148" s="77" t="n">
        <f aca="false">2*L148*(1+SeaMargin)/(I148*24)</f>
        <v>32.4074074074074</v>
      </c>
      <c r="O148" s="84" t="n">
        <f aca="false">(I148/RefSpeed)^SpeedExp</f>
        <v>1</v>
      </c>
      <c r="P148" s="2" t="n">
        <f aca="false">IF(H148&gt;0,1,0)</f>
        <v>1</v>
      </c>
      <c r="Q148" s="71" t="n">
        <f aca="false">N148/2*O148*(ConsLaden+IF(P148=1,ConsLaden,ConsBallast))</f>
        <v>875</v>
      </c>
      <c r="R148" s="71" t="n">
        <f aca="false">Q148*(1-M148)</f>
        <v>761.25</v>
      </c>
      <c r="S148" s="71" t="n">
        <f aca="false">Q148*M148</f>
        <v>113.75</v>
      </c>
      <c r="T148" s="2" t="n">
        <f aca="false">1+P148</f>
        <v>2</v>
      </c>
      <c r="U148" s="77" t="n">
        <f aca="false">INDEX(Routes!$L$6:$L$9,$C148)*T148*F148</f>
        <v>10</v>
      </c>
      <c r="V148" s="77" t="n">
        <f aca="false">INDEX(Routes!$M$6:$M$9,$C148)*T148*F148</f>
        <v>7</v>
      </c>
      <c r="W148" s="77" t="n">
        <f aca="false">INDEX(Routes!$H$6:$H$9,$C148)*2</f>
        <v>0</v>
      </c>
      <c r="X148" s="71" t="n">
        <f aca="false">(U148+V148+W148)*ConsPort</f>
        <v>102</v>
      </c>
      <c r="Y148" s="67" t="n">
        <f aca="false">R148*D148*VLSFO_Mult+(S148+X148)*D148*MGO_Mult</f>
        <v>477264</v>
      </c>
      <c r="Z148" s="67" t="n">
        <f aca="false">(INDEX(Routes!$N$6:$N$9,$C148)+AN148+MIN(AC148*INDEX(Routes!$T$6:$T$9,$C148),INDEX(Routes!$V$6:$V$9,$C148))+INDEX(Routes!$O$6:$O$9,$C148)+AO148+MIN(AC148*INDEX(Routes!$U$6:$U$9,$C148),INDEX(Routes!$W$6:$W$9,$C148))+IF(P148=1,INDEX(Routes!$N$6:$N$9,$C148)+AN148+MIN(AD148*INDEX(Routes!$T$6:$T$9,$C148),INDEX(Routes!$V$6:$V$9,$C148))+INDEX(Routes!$O$6:$O$9,$C148)+AO148+MIN(AD148*INDEX(Routes!$U$6:$U$9,$C148),INDEX(Routes!$W$6:$W$9,$C148)),0))*J148</f>
        <v>252304.2096</v>
      </c>
      <c r="AA148" s="67" t="n">
        <f aca="false">INDEX(Routes!$R$6:$R$9,$C148)+IF(P148=1,INDEX(Routes!$R$6:$R$9,$C148),INDEX(Routes!$S$6:$S$9,$C148))</f>
        <v>0</v>
      </c>
      <c r="AB148" s="67" t="n">
        <f aca="false">((R148*CO2_VLSFO+S148*CO2_MGO)*INDEX(Routes!$I$6:$I$9,$C148)+(U148*INDEX(Routes!$P$6:$P$9,$C148)+V148*INDEX(Routes!$Q$6:$Q$9,$C148))*ConsPort*CO2_MGO)*PhaseIn*K148*FX</f>
        <v>123936.40875</v>
      </c>
      <c r="AC148" s="71" t="n">
        <f aca="false">Capacity*G148</f>
        <v>30600</v>
      </c>
      <c r="AD148" s="71" t="n">
        <f aca="false">Capacity*H148</f>
        <v>18000</v>
      </c>
      <c r="AE148" s="82" t="n">
        <f aca="false">INDEX(Routes!$J$6:$J$9,$C148)*E148</f>
        <v>52</v>
      </c>
      <c r="AF148" s="82" t="n">
        <f aca="false">INDEX(Routes!$K$6:$K$9,$C148)*E148</f>
        <v>38</v>
      </c>
      <c r="AG148" s="67" t="n">
        <f aca="false">AC148*AE148+AD148*AF148</f>
        <v>2275200</v>
      </c>
      <c r="AH148" s="67" t="n">
        <f aca="false">AG148*Commission</f>
        <v>56880</v>
      </c>
      <c r="AI148" s="67" t="n">
        <f aca="false">Y148+Z148+AA148+AB148+MiscVoy</f>
        <v>878504.61835</v>
      </c>
      <c r="AJ148" s="77" t="n">
        <f aca="false">N148+U148+V148+W148</f>
        <v>49.4074074074074</v>
      </c>
      <c r="AK148" s="94" t="n">
        <f aca="false">(AG148-AH148-AI148)/AJ148</f>
        <v>27117.702627099</v>
      </c>
      <c r="AL148" s="67" t="n">
        <f aca="false">AG148-AH148-AI148-Benchmark*AJ148</f>
        <v>450482.048316667</v>
      </c>
      <c r="AM148" s="82" t="n">
        <f aca="false">IF(AC148&gt;0,((Benchmark*AJ148+AI148)/(1-Commission)-AD148*AF148)/AC148,0)</f>
        <v>36.9008865990727</v>
      </c>
      <c r="AN148" s="67" t="n">
        <f aca="false">LOA_ft*Port_Tariffs!$C$9*IF((INDEX(Routes!$L$6:$L$9,$C148)*INDEX(Routes!$X$6:$X$9,$C148)*F148)&lt;=2,(INDEX(Routes!$L$6:$L$9,$C148)*INDEX(Routes!$X$6:$X$9,$C148)*F148),IF((INDEX(Routes!$L$6:$L$9,$C148)*INDEX(Routes!$X$6:$X$9,$C148)*F148)&lt;=3,2+0.9*((INDEX(Routes!$L$6:$L$9,$C148)*INDEX(Routes!$X$6:$X$9,$C148)*F148)-2),IF((INDEX(Routes!$L$6:$L$9,$C148)*INDEX(Routes!$X$6:$X$9,$C148)*F148)&lt;=4,2.9+0.75*((INDEX(Routes!$L$6:$L$9,$C148)*INDEX(Routes!$X$6:$X$9,$C148)*F148)-3),IF((INDEX(Routes!$L$6:$L$9,$C148)*INDEX(Routes!$X$6:$X$9,$C148)*F148)&lt;=5,3.65+0.6*((INDEX(Routes!$L$6:$L$9,$C148)*INDEX(Routes!$X$6:$X$9,$C148)*F148)-4),4.25+0.5*((INDEX(Routes!$L$6:$L$9,$C148)*INDEX(Routes!$X$6:$X$9,$C148)*F148)-5)))))</f>
        <v>19557.6</v>
      </c>
      <c r="AO148" s="67" t="n">
        <f aca="false">LOA_ft*Port_Tariffs!$C$9*IF((INDEX(Routes!$M$6:$M$9,$C148)*INDEX(Routes!$Y$6:$Y$9,$C148)*F148)&lt;=2,(INDEX(Routes!$M$6:$M$9,$C148)*INDEX(Routes!$Y$6:$Y$9,$C148)*F148),IF((INDEX(Routes!$M$6:$M$9,$C148)*INDEX(Routes!$Y$6:$Y$9,$C148)*F148)&lt;=3,2+0.9*((INDEX(Routes!$M$6:$M$9,$C148)*INDEX(Routes!$Y$6:$Y$9,$C148)*F148)-2),IF((INDEX(Routes!$M$6:$M$9,$C148)*INDEX(Routes!$Y$6:$Y$9,$C148)*F148)&lt;=4,2.9+0.75*((INDEX(Routes!$M$6:$M$9,$C148)*INDEX(Routes!$Y$6:$Y$9,$C148)*F148)-3),IF((INDEX(Routes!$M$6:$M$9,$C148)*INDEX(Routes!$Y$6:$Y$9,$C148)*F148)&lt;=5,3.65+0.6*((INDEX(Routes!$M$6:$M$9,$C148)*INDEX(Routes!$Y$6:$Y$9,$C148)*F148)-4),4.25+0.5*((INDEX(Routes!$M$6:$M$9,$C148)*INDEX(Routes!$Y$6:$Y$9,$C148)*F148)-5)))))</f>
        <v>0</v>
      </c>
    </row>
    <row r="149" customFormat="false" ht="15" hidden="false" customHeight="false" outlineLevel="0" collapsed="false">
      <c r="A149" s="2" t="s">
        <v>645</v>
      </c>
      <c r="B149" s="2" t="s">
        <v>630</v>
      </c>
      <c r="C149" s="16" t="n">
        <f aca="false">Sw_Route</f>
        <v>1</v>
      </c>
      <c r="D149" s="70" t="n">
        <v>70</v>
      </c>
      <c r="E149" s="92" t="n">
        <v>1</v>
      </c>
      <c r="F149" s="88" t="n">
        <f aca="false">PortMult</f>
        <v>1</v>
      </c>
      <c r="G149" s="89" t="n">
        <f aca="false">UtilFH</f>
        <v>0.85</v>
      </c>
      <c r="H149" s="89" t="n">
        <f aca="false">UtilBH</f>
        <v>0.5</v>
      </c>
      <c r="I149" s="90" t="n">
        <f aca="false">Speed</f>
        <v>13.5</v>
      </c>
      <c r="J149" s="88" t="n">
        <f aca="false">PortCostMult</f>
        <v>1</v>
      </c>
      <c r="K149" s="90" t="n">
        <f aca="false">EUA</f>
        <v>75</v>
      </c>
      <c r="L149" s="71" t="n">
        <f aca="false">INDEX(Routes!$E$6:$E$9,$C149)</f>
        <v>5000</v>
      </c>
      <c r="M149" s="72" t="n">
        <f aca="false">INDEX(Routes!$F$6:$F$9,$C149)/L149</f>
        <v>0.13</v>
      </c>
      <c r="N149" s="77" t="n">
        <f aca="false">2*L149*(1+SeaMargin)/(I149*24)</f>
        <v>32.4074074074074</v>
      </c>
      <c r="O149" s="84" t="n">
        <f aca="false">(I149/RefSpeed)^SpeedExp</f>
        <v>1</v>
      </c>
      <c r="P149" s="2" t="n">
        <f aca="false">IF(H149&gt;0,1,0)</f>
        <v>1</v>
      </c>
      <c r="Q149" s="71" t="n">
        <f aca="false">N149/2*O149*(ConsLaden+IF(P149=1,ConsLaden,ConsBallast))</f>
        <v>875</v>
      </c>
      <c r="R149" s="71" t="n">
        <f aca="false">Q149*(1-M149)</f>
        <v>761.25</v>
      </c>
      <c r="S149" s="71" t="n">
        <f aca="false">Q149*M149</f>
        <v>113.75</v>
      </c>
      <c r="T149" s="2" t="n">
        <f aca="false">1+P149</f>
        <v>2</v>
      </c>
      <c r="U149" s="77" t="n">
        <f aca="false">INDEX(Routes!$L$6:$L$9,$C149)*T149*F149</f>
        <v>10</v>
      </c>
      <c r="V149" s="77" t="n">
        <f aca="false">INDEX(Routes!$M$6:$M$9,$C149)*T149*F149</f>
        <v>7</v>
      </c>
      <c r="W149" s="77" t="n">
        <f aca="false">INDEX(Routes!$H$6:$H$9,$C149)*2</f>
        <v>0</v>
      </c>
      <c r="X149" s="71" t="n">
        <f aca="false">(U149+V149+W149)*ConsPort</f>
        <v>102</v>
      </c>
      <c r="Y149" s="67" t="n">
        <f aca="false">R149*D149*VLSFO_Mult+(S149+X149)*D149*MGO_Mult</f>
        <v>556808</v>
      </c>
      <c r="Z149" s="67" t="n">
        <f aca="false">(INDEX(Routes!$N$6:$N$9,$C149)+AN149+MIN(AC149*INDEX(Routes!$T$6:$T$9,$C149),INDEX(Routes!$V$6:$V$9,$C149))+INDEX(Routes!$O$6:$O$9,$C149)+AO149+MIN(AC149*INDEX(Routes!$U$6:$U$9,$C149),INDEX(Routes!$W$6:$W$9,$C149))+IF(P149=1,INDEX(Routes!$N$6:$N$9,$C149)+AN149+MIN(AD149*INDEX(Routes!$T$6:$T$9,$C149),INDEX(Routes!$V$6:$V$9,$C149))+INDEX(Routes!$O$6:$O$9,$C149)+AO149+MIN(AD149*INDEX(Routes!$U$6:$U$9,$C149),INDEX(Routes!$W$6:$W$9,$C149)),0))*J149</f>
        <v>252304.2096</v>
      </c>
      <c r="AA149" s="67" t="n">
        <f aca="false">INDEX(Routes!$R$6:$R$9,$C149)+IF(P149=1,INDEX(Routes!$R$6:$R$9,$C149),INDEX(Routes!$S$6:$S$9,$C149))</f>
        <v>0</v>
      </c>
      <c r="AB149" s="67" t="n">
        <f aca="false">((R149*CO2_VLSFO+S149*CO2_MGO)*INDEX(Routes!$I$6:$I$9,$C149)+(U149*INDEX(Routes!$P$6:$P$9,$C149)+V149*INDEX(Routes!$Q$6:$Q$9,$C149))*ConsPort*CO2_MGO)*PhaseIn*K149*FX</f>
        <v>123936.40875</v>
      </c>
      <c r="AC149" s="71" t="n">
        <f aca="false">Capacity*G149</f>
        <v>30600</v>
      </c>
      <c r="AD149" s="71" t="n">
        <f aca="false">Capacity*H149</f>
        <v>18000</v>
      </c>
      <c r="AE149" s="82" t="n">
        <f aca="false">INDEX(Routes!$J$6:$J$9,$C149)*E149</f>
        <v>52</v>
      </c>
      <c r="AF149" s="82" t="n">
        <f aca="false">INDEX(Routes!$K$6:$K$9,$C149)*E149</f>
        <v>38</v>
      </c>
      <c r="AG149" s="67" t="n">
        <f aca="false">AC149*AE149+AD149*AF149</f>
        <v>2275200</v>
      </c>
      <c r="AH149" s="67" t="n">
        <f aca="false">AG149*Commission</f>
        <v>56880</v>
      </c>
      <c r="AI149" s="67" t="n">
        <f aca="false">Y149+Z149+AA149+AB149+MiscVoy</f>
        <v>958048.61835</v>
      </c>
      <c r="AJ149" s="77" t="n">
        <f aca="false">N149+U149+V149+W149</f>
        <v>49.4074074074074</v>
      </c>
      <c r="AK149" s="94" t="n">
        <f aca="false">(AG149-AH149-AI149)/AJ149</f>
        <v>25507.7416076087</v>
      </c>
      <c r="AL149" s="67" t="n">
        <f aca="false">AG149-AH149-AI149-Benchmark*AJ149</f>
        <v>370938.048316667</v>
      </c>
      <c r="AM149" s="82" t="n">
        <f aca="false">IF(AC149&gt;0,((Benchmark*AJ149+AI149)/(1-Commission)-AD149*AF149)/AC149,0)</f>
        <v>39.5670169828501</v>
      </c>
      <c r="AN149" s="67" t="n">
        <f aca="false">LOA_ft*Port_Tariffs!$C$9*IF((INDEX(Routes!$L$6:$L$9,$C149)*INDEX(Routes!$X$6:$X$9,$C149)*F149)&lt;=2,(INDEX(Routes!$L$6:$L$9,$C149)*INDEX(Routes!$X$6:$X$9,$C149)*F149),IF((INDEX(Routes!$L$6:$L$9,$C149)*INDEX(Routes!$X$6:$X$9,$C149)*F149)&lt;=3,2+0.9*((INDEX(Routes!$L$6:$L$9,$C149)*INDEX(Routes!$X$6:$X$9,$C149)*F149)-2),IF((INDEX(Routes!$L$6:$L$9,$C149)*INDEX(Routes!$X$6:$X$9,$C149)*F149)&lt;=4,2.9+0.75*((INDEX(Routes!$L$6:$L$9,$C149)*INDEX(Routes!$X$6:$X$9,$C149)*F149)-3),IF((INDEX(Routes!$L$6:$L$9,$C149)*INDEX(Routes!$X$6:$X$9,$C149)*F149)&lt;=5,3.65+0.6*((INDEX(Routes!$L$6:$L$9,$C149)*INDEX(Routes!$X$6:$X$9,$C149)*F149)-4),4.25+0.5*((INDEX(Routes!$L$6:$L$9,$C149)*INDEX(Routes!$X$6:$X$9,$C149)*F149)-5)))))</f>
        <v>19557.6</v>
      </c>
      <c r="AO149" s="67" t="n">
        <f aca="false">LOA_ft*Port_Tariffs!$C$9*IF((INDEX(Routes!$M$6:$M$9,$C149)*INDEX(Routes!$Y$6:$Y$9,$C149)*F149)&lt;=2,(INDEX(Routes!$M$6:$M$9,$C149)*INDEX(Routes!$Y$6:$Y$9,$C149)*F149),IF((INDEX(Routes!$M$6:$M$9,$C149)*INDEX(Routes!$Y$6:$Y$9,$C149)*F149)&lt;=3,2+0.9*((INDEX(Routes!$M$6:$M$9,$C149)*INDEX(Routes!$Y$6:$Y$9,$C149)*F149)-2),IF((INDEX(Routes!$M$6:$M$9,$C149)*INDEX(Routes!$Y$6:$Y$9,$C149)*F149)&lt;=4,2.9+0.75*((INDEX(Routes!$M$6:$M$9,$C149)*INDEX(Routes!$Y$6:$Y$9,$C149)*F149)-3),IF((INDEX(Routes!$M$6:$M$9,$C149)*INDEX(Routes!$Y$6:$Y$9,$C149)*F149)&lt;=5,3.65+0.6*((INDEX(Routes!$M$6:$M$9,$C149)*INDEX(Routes!$Y$6:$Y$9,$C149)*F149)-4),4.25+0.5*((INDEX(Routes!$M$6:$M$9,$C149)*INDEX(Routes!$Y$6:$Y$9,$C149)*F149)-5)))))</f>
        <v>0</v>
      </c>
    </row>
    <row r="150" customFormat="false" ht="15" hidden="false" customHeight="false" outlineLevel="0" collapsed="false">
      <c r="A150" s="2" t="s">
        <v>646</v>
      </c>
      <c r="B150" s="2" t="s">
        <v>630</v>
      </c>
      <c r="C150" s="16" t="n">
        <f aca="false">Sw_Route</f>
        <v>1</v>
      </c>
      <c r="D150" s="70" t="n">
        <v>80</v>
      </c>
      <c r="E150" s="92" t="n">
        <v>1</v>
      </c>
      <c r="F150" s="88" t="n">
        <f aca="false">PortMult</f>
        <v>1</v>
      </c>
      <c r="G150" s="89" t="n">
        <f aca="false">UtilFH</f>
        <v>0.85</v>
      </c>
      <c r="H150" s="89" t="n">
        <f aca="false">UtilBH</f>
        <v>0.5</v>
      </c>
      <c r="I150" s="90" t="n">
        <f aca="false">Speed</f>
        <v>13.5</v>
      </c>
      <c r="J150" s="88" t="n">
        <f aca="false">PortCostMult</f>
        <v>1</v>
      </c>
      <c r="K150" s="90" t="n">
        <f aca="false">EUA</f>
        <v>75</v>
      </c>
      <c r="L150" s="71" t="n">
        <f aca="false">INDEX(Routes!$E$6:$E$9,$C150)</f>
        <v>5000</v>
      </c>
      <c r="M150" s="72" t="n">
        <f aca="false">INDEX(Routes!$F$6:$F$9,$C150)/L150</f>
        <v>0.13</v>
      </c>
      <c r="N150" s="77" t="n">
        <f aca="false">2*L150*(1+SeaMargin)/(I150*24)</f>
        <v>32.4074074074074</v>
      </c>
      <c r="O150" s="84" t="n">
        <f aca="false">(I150/RefSpeed)^SpeedExp</f>
        <v>1</v>
      </c>
      <c r="P150" s="2" t="n">
        <f aca="false">IF(H150&gt;0,1,0)</f>
        <v>1</v>
      </c>
      <c r="Q150" s="71" t="n">
        <f aca="false">N150/2*O150*(ConsLaden+IF(P150=1,ConsLaden,ConsBallast))</f>
        <v>875</v>
      </c>
      <c r="R150" s="71" t="n">
        <f aca="false">Q150*(1-M150)</f>
        <v>761.25</v>
      </c>
      <c r="S150" s="71" t="n">
        <f aca="false">Q150*M150</f>
        <v>113.75</v>
      </c>
      <c r="T150" s="2" t="n">
        <f aca="false">1+P150</f>
        <v>2</v>
      </c>
      <c r="U150" s="77" t="n">
        <f aca="false">INDEX(Routes!$L$6:$L$9,$C150)*T150*F150</f>
        <v>10</v>
      </c>
      <c r="V150" s="77" t="n">
        <f aca="false">INDEX(Routes!$M$6:$M$9,$C150)*T150*F150</f>
        <v>7</v>
      </c>
      <c r="W150" s="77" t="n">
        <f aca="false">INDEX(Routes!$H$6:$H$9,$C150)*2</f>
        <v>0</v>
      </c>
      <c r="X150" s="71" t="n">
        <f aca="false">(U150+V150+W150)*ConsPort</f>
        <v>102</v>
      </c>
      <c r="Y150" s="67" t="n">
        <f aca="false">R150*D150*VLSFO_Mult+(S150+X150)*D150*MGO_Mult</f>
        <v>636352</v>
      </c>
      <c r="Z150" s="67" t="n">
        <f aca="false">(INDEX(Routes!$N$6:$N$9,$C150)+AN150+MIN(AC150*INDEX(Routes!$T$6:$T$9,$C150),INDEX(Routes!$V$6:$V$9,$C150))+INDEX(Routes!$O$6:$O$9,$C150)+AO150+MIN(AC150*INDEX(Routes!$U$6:$U$9,$C150),INDEX(Routes!$W$6:$W$9,$C150))+IF(P150=1,INDEX(Routes!$N$6:$N$9,$C150)+AN150+MIN(AD150*INDEX(Routes!$T$6:$T$9,$C150),INDEX(Routes!$V$6:$V$9,$C150))+INDEX(Routes!$O$6:$O$9,$C150)+AO150+MIN(AD150*INDEX(Routes!$U$6:$U$9,$C150),INDEX(Routes!$W$6:$W$9,$C150)),0))*J150</f>
        <v>252304.2096</v>
      </c>
      <c r="AA150" s="67" t="n">
        <f aca="false">INDEX(Routes!$R$6:$R$9,$C150)+IF(P150=1,INDEX(Routes!$R$6:$R$9,$C150),INDEX(Routes!$S$6:$S$9,$C150))</f>
        <v>0</v>
      </c>
      <c r="AB150" s="67" t="n">
        <f aca="false">((R150*CO2_VLSFO+S150*CO2_MGO)*INDEX(Routes!$I$6:$I$9,$C150)+(U150*INDEX(Routes!$P$6:$P$9,$C150)+V150*INDEX(Routes!$Q$6:$Q$9,$C150))*ConsPort*CO2_MGO)*PhaseIn*K150*FX</f>
        <v>123936.40875</v>
      </c>
      <c r="AC150" s="71" t="n">
        <f aca="false">Capacity*G150</f>
        <v>30600</v>
      </c>
      <c r="AD150" s="71" t="n">
        <f aca="false">Capacity*H150</f>
        <v>18000</v>
      </c>
      <c r="AE150" s="82" t="n">
        <f aca="false">INDEX(Routes!$J$6:$J$9,$C150)*E150</f>
        <v>52</v>
      </c>
      <c r="AF150" s="82" t="n">
        <f aca="false">INDEX(Routes!$K$6:$K$9,$C150)*E150</f>
        <v>38</v>
      </c>
      <c r="AG150" s="67" t="n">
        <f aca="false">AC150*AE150+AD150*AF150</f>
        <v>2275200</v>
      </c>
      <c r="AH150" s="67" t="n">
        <f aca="false">AG150*Commission</f>
        <v>56880</v>
      </c>
      <c r="AI150" s="67" t="n">
        <f aca="false">Y150+Z150+AA150+AB150+MiscVoy</f>
        <v>1037592.61835</v>
      </c>
      <c r="AJ150" s="77" t="n">
        <f aca="false">N150+U150+V150+W150</f>
        <v>49.4074074074074</v>
      </c>
      <c r="AK150" s="94" t="n">
        <f aca="false">(AG150-AH150-AI150)/AJ150</f>
        <v>23897.7805881184</v>
      </c>
      <c r="AL150" s="67" t="n">
        <f aca="false">AG150-AH150-AI150-Benchmark*AJ150</f>
        <v>291394.048316667</v>
      </c>
      <c r="AM150" s="82" t="n">
        <f aca="false">IF(AC150&gt;0,((Benchmark*AJ150+AI150)/(1-Commission)-AD150*AF150)/AC150,0)</f>
        <v>42.2331473666276</v>
      </c>
      <c r="AN150" s="67" t="n">
        <f aca="false">LOA_ft*Port_Tariffs!$C$9*IF((INDEX(Routes!$L$6:$L$9,$C150)*INDEX(Routes!$X$6:$X$9,$C150)*F150)&lt;=2,(INDEX(Routes!$L$6:$L$9,$C150)*INDEX(Routes!$X$6:$X$9,$C150)*F150),IF((INDEX(Routes!$L$6:$L$9,$C150)*INDEX(Routes!$X$6:$X$9,$C150)*F150)&lt;=3,2+0.9*((INDEX(Routes!$L$6:$L$9,$C150)*INDEX(Routes!$X$6:$X$9,$C150)*F150)-2),IF((INDEX(Routes!$L$6:$L$9,$C150)*INDEX(Routes!$X$6:$X$9,$C150)*F150)&lt;=4,2.9+0.75*((INDEX(Routes!$L$6:$L$9,$C150)*INDEX(Routes!$X$6:$X$9,$C150)*F150)-3),IF((INDEX(Routes!$L$6:$L$9,$C150)*INDEX(Routes!$X$6:$X$9,$C150)*F150)&lt;=5,3.65+0.6*((INDEX(Routes!$L$6:$L$9,$C150)*INDEX(Routes!$X$6:$X$9,$C150)*F150)-4),4.25+0.5*((INDEX(Routes!$L$6:$L$9,$C150)*INDEX(Routes!$X$6:$X$9,$C150)*F150)-5)))))</f>
        <v>19557.6</v>
      </c>
      <c r="AO150" s="67" t="n">
        <f aca="false">LOA_ft*Port_Tariffs!$C$9*IF((INDEX(Routes!$M$6:$M$9,$C150)*INDEX(Routes!$Y$6:$Y$9,$C150)*F150)&lt;=2,(INDEX(Routes!$M$6:$M$9,$C150)*INDEX(Routes!$Y$6:$Y$9,$C150)*F150),IF((INDEX(Routes!$M$6:$M$9,$C150)*INDEX(Routes!$Y$6:$Y$9,$C150)*F150)&lt;=3,2+0.9*((INDEX(Routes!$M$6:$M$9,$C150)*INDEX(Routes!$Y$6:$Y$9,$C150)*F150)-2),IF((INDEX(Routes!$M$6:$M$9,$C150)*INDEX(Routes!$Y$6:$Y$9,$C150)*F150)&lt;=4,2.9+0.75*((INDEX(Routes!$M$6:$M$9,$C150)*INDEX(Routes!$Y$6:$Y$9,$C150)*F150)-3),IF((INDEX(Routes!$M$6:$M$9,$C150)*INDEX(Routes!$Y$6:$Y$9,$C150)*F150)&lt;=5,3.65+0.6*((INDEX(Routes!$M$6:$M$9,$C150)*INDEX(Routes!$Y$6:$Y$9,$C150)*F150)-4),4.25+0.5*((INDEX(Routes!$M$6:$M$9,$C150)*INDEX(Routes!$Y$6:$Y$9,$C150)*F150)-5)))))</f>
        <v>0</v>
      </c>
    </row>
    <row r="151" customFormat="false" ht="15" hidden="false" customHeight="false" outlineLevel="0" collapsed="false">
      <c r="A151" s="2" t="s">
        <v>647</v>
      </c>
      <c r="B151" s="2" t="s">
        <v>630</v>
      </c>
      <c r="C151" s="16" t="n">
        <f aca="false">Sw_Route</f>
        <v>1</v>
      </c>
      <c r="D151" s="70" t="n">
        <v>90</v>
      </c>
      <c r="E151" s="92" t="n">
        <v>1</v>
      </c>
      <c r="F151" s="88" t="n">
        <f aca="false">PortMult</f>
        <v>1</v>
      </c>
      <c r="G151" s="89" t="n">
        <f aca="false">UtilFH</f>
        <v>0.85</v>
      </c>
      <c r="H151" s="89" t="n">
        <f aca="false">UtilBH</f>
        <v>0.5</v>
      </c>
      <c r="I151" s="90" t="n">
        <f aca="false">Speed</f>
        <v>13.5</v>
      </c>
      <c r="J151" s="88" t="n">
        <f aca="false">PortCostMult</f>
        <v>1</v>
      </c>
      <c r="K151" s="90" t="n">
        <f aca="false">EUA</f>
        <v>75</v>
      </c>
      <c r="L151" s="71" t="n">
        <f aca="false">INDEX(Routes!$E$6:$E$9,$C151)</f>
        <v>5000</v>
      </c>
      <c r="M151" s="72" t="n">
        <f aca="false">INDEX(Routes!$F$6:$F$9,$C151)/L151</f>
        <v>0.13</v>
      </c>
      <c r="N151" s="77" t="n">
        <f aca="false">2*L151*(1+SeaMargin)/(I151*24)</f>
        <v>32.4074074074074</v>
      </c>
      <c r="O151" s="84" t="n">
        <f aca="false">(I151/RefSpeed)^SpeedExp</f>
        <v>1</v>
      </c>
      <c r="P151" s="2" t="n">
        <f aca="false">IF(H151&gt;0,1,0)</f>
        <v>1</v>
      </c>
      <c r="Q151" s="71" t="n">
        <f aca="false">N151/2*O151*(ConsLaden+IF(P151=1,ConsLaden,ConsBallast))</f>
        <v>875</v>
      </c>
      <c r="R151" s="71" t="n">
        <f aca="false">Q151*(1-M151)</f>
        <v>761.25</v>
      </c>
      <c r="S151" s="71" t="n">
        <f aca="false">Q151*M151</f>
        <v>113.75</v>
      </c>
      <c r="T151" s="2" t="n">
        <f aca="false">1+P151</f>
        <v>2</v>
      </c>
      <c r="U151" s="77" t="n">
        <f aca="false">INDEX(Routes!$L$6:$L$9,$C151)*T151*F151</f>
        <v>10</v>
      </c>
      <c r="V151" s="77" t="n">
        <f aca="false">INDEX(Routes!$M$6:$M$9,$C151)*T151*F151</f>
        <v>7</v>
      </c>
      <c r="W151" s="77" t="n">
        <f aca="false">INDEX(Routes!$H$6:$H$9,$C151)*2</f>
        <v>0</v>
      </c>
      <c r="X151" s="71" t="n">
        <f aca="false">(U151+V151+W151)*ConsPort</f>
        <v>102</v>
      </c>
      <c r="Y151" s="67" t="n">
        <f aca="false">R151*D151*VLSFO_Mult+(S151+X151)*D151*MGO_Mult</f>
        <v>715896</v>
      </c>
      <c r="Z151" s="67" t="n">
        <f aca="false">(INDEX(Routes!$N$6:$N$9,$C151)+AN151+MIN(AC151*INDEX(Routes!$T$6:$T$9,$C151),INDEX(Routes!$V$6:$V$9,$C151))+INDEX(Routes!$O$6:$O$9,$C151)+AO151+MIN(AC151*INDEX(Routes!$U$6:$U$9,$C151),INDEX(Routes!$W$6:$W$9,$C151))+IF(P151=1,INDEX(Routes!$N$6:$N$9,$C151)+AN151+MIN(AD151*INDEX(Routes!$T$6:$T$9,$C151),INDEX(Routes!$V$6:$V$9,$C151))+INDEX(Routes!$O$6:$O$9,$C151)+AO151+MIN(AD151*INDEX(Routes!$U$6:$U$9,$C151),INDEX(Routes!$W$6:$W$9,$C151)),0))*J151</f>
        <v>252304.2096</v>
      </c>
      <c r="AA151" s="67" t="n">
        <f aca="false">INDEX(Routes!$R$6:$R$9,$C151)+IF(P151=1,INDEX(Routes!$R$6:$R$9,$C151),INDEX(Routes!$S$6:$S$9,$C151))</f>
        <v>0</v>
      </c>
      <c r="AB151" s="67" t="n">
        <f aca="false">((R151*CO2_VLSFO+S151*CO2_MGO)*INDEX(Routes!$I$6:$I$9,$C151)+(U151*INDEX(Routes!$P$6:$P$9,$C151)+V151*INDEX(Routes!$Q$6:$Q$9,$C151))*ConsPort*CO2_MGO)*PhaseIn*K151*FX</f>
        <v>123936.40875</v>
      </c>
      <c r="AC151" s="71" t="n">
        <f aca="false">Capacity*G151</f>
        <v>30600</v>
      </c>
      <c r="AD151" s="71" t="n">
        <f aca="false">Capacity*H151</f>
        <v>18000</v>
      </c>
      <c r="AE151" s="82" t="n">
        <f aca="false">INDEX(Routes!$J$6:$J$9,$C151)*E151</f>
        <v>52</v>
      </c>
      <c r="AF151" s="82" t="n">
        <f aca="false">INDEX(Routes!$K$6:$K$9,$C151)*E151</f>
        <v>38</v>
      </c>
      <c r="AG151" s="67" t="n">
        <f aca="false">AC151*AE151+AD151*AF151</f>
        <v>2275200</v>
      </c>
      <c r="AH151" s="67" t="n">
        <f aca="false">AG151*Commission</f>
        <v>56880</v>
      </c>
      <c r="AI151" s="67" t="n">
        <f aca="false">Y151+Z151+AA151+AB151+MiscVoy</f>
        <v>1117136.61835</v>
      </c>
      <c r="AJ151" s="77" t="n">
        <f aca="false">N151+U151+V151+W151</f>
        <v>49.4074074074074</v>
      </c>
      <c r="AK151" s="94" t="n">
        <f aca="false">(AG151-AH151-AI151)/AJ151</f>
        <v>22287.8195686282</v>
      </c>
      <c r="AL151" s="67" t="n">
        <f aca="false">AG151-AH151-AI151-Benchmark*AJ151</f>
        <v>211850.048316667</v>
      </c>
      <c r="AM151" s="82" t="n">
        <f aca="false">IF(AC151&gt;0,((Benchmark*AJ151+AI151)/(1-Commission)-AD151*AF151)/AC151,0)</f>
        <v>44.899277750405</v>
      </c>
      <c r="AN151" s="67" t="n">
        <f aca="false">LOA_ft*Port_Tariffs!$C$9*IF((INDEX(Routes!$L$6:$L$9,$C151)*INDEX(Routes!$X$6:$X$9,$C151)*F151)&lt;=2,(INDEX(Routes!$L$6:$L$9,$C151)*INDEX(Routes!$X$6:$X$9,$C151)*F151),IF((INDEX(Routes!$L$6:$L$9,$C151)*INDEX(Routes!$X$6:$X$9,$C151)*F151)&lt;=3,2+0.9*((INDEX(Routes!$L$6:$L$9,$C151)*INDEX(Routes!$X$6:$X$9,$C151)*F151)-2),IF((INDEX(Routes!$L$6:$L$9,$C151)*INDEX(Routes!$X$6:$X$9,$C151)*F151)&lt;=4,2.9+0.75*((INDEX(Routes!$L$6:$L$9,$C151)*INDEX(Routes!$X$6:$X$9,$C151)*F151)-3),IF((INDEX(Routes!$L$6:$L$9,$C151)*INDEX(Routes!$X$6:$X$9,$C151)*F151)&lt;=5,3.65+0.6*((INDEX(Routes!$L$6:$L$9,$C151)*INDEX(Routes!$X$6:$X$9,$C151)*F151)-4),4.25+0.5*((INDEX(Routes!$L$6:$L$9,$C151)*INDEX(Routes!$X$6:$X$9,$C151)*F151)-5)))))</f>
        <v>19557.6</v>
      </c>
      <c r="AO151" s="67" t="n">
        <f aca="false">LOA_ft*Port_Tariffs!$C$9*IF((INDEX(Routes!$M$6:$M$9,$C151)*INDEX(Routes!$Y$6:$Y$9,$C151)*F151)&lt;=2,(INDEX(Routes!$M$6:$M$9,$C151)*INDEX(Routes!$Y$6:$Y$9,$C151)*F151),IF((INDEX(Routes!$M$6:$M$9,$C151)*INDEX(Routes!$Y$6:$Y$9,$C151)*F151)&lt;=3,2+0.9*((INDEX(Routes!$M$6:$M$9,$C151)*INDEX(Routes!$Y$6:$Y$9,$C151)*F151)-2),IF((INDEX(Routes!$M$6:$M$9,$C151)*INDEX(Routes!$Y$6:$Y$9,$C151)*F151)&lt;=4,2.9+0.75*((INDEX(Routes!$M$6:$M$9,$C151)*INDEX(Routes!$Y$6:$Y$9,$C151)*F151)-3),IF((INDEX(Routes!$M$6:$M$9,$C151)*INDEX(Routes!$Y$6:$Y$9,$C151)*F151)&lt;=5,3.65+0.6*((INDEX(Routes!$M$6:$M$9,$C151)*INDEX(Routes!$Y$6:$Y$9,$C151)*F151)-4),4.25+0.5*((INDEX(Routes!$M$6:$M$9,$C151)*INDEX(Routes!$Y$6:$Y$9,$C151)*F151)-5)))))</f>
        <v>0</v>
      </c>
    </row>
    <row r="152" customFormat="false" ht="15" hidden="false" customHeight="false" outlineLevel="0" collapsed="false">
      <c r="A152" s="2" t="s">
        <v>648</v>
      </c>
      <c r="B152" s="2" t="s">
        <v>630</v>
      </c>
      <c r="C152" s="16" t="n">
        <f aca="false">Sw_Route</f>
        <v>1</v>
      </c>
      <c r="D152" s="70" t="n">
        <v>100</v>
      </c>
      <c r="E152" s="92" t="n">
        <v>1</v>
      </c>
      <c r="F152" s="88" t="n">
        <f aca="false">PortMult</f>
        <v>1</v>
      </c>
      <c r="G152" s="89" t="n">
        <f aca="false">UtilFH</f>
        <v>0.85</v>
      </c>
      <c r="H152" s="89" t="n">
        <f aca="false">UtilBH</f>
        <v>0.5</v>
      </c>
      <c r="I152" s="90" t="n">
        <f aca="false">Speed</f>
        <v>13.5</v>
      </c>
      <c r="J152" s="88" t="n">
        <f aca="false">PortCostMult</f>
        <v>1</v>
      </c>
      <c r="K152" s="90" t="n">
        <f aca="false">EUA</f>
        <v>75</v>
      </c>
      <c r="L152" s="71" t="n">
        <f aca="false">INDEX(Routes!$E$6:$E$9,$C152)</f>
        <v>5000</v>
      </c>
      <c r="M152" s="72" t="n">
        <f aca="false">INDEX(Routes!$F$6:$F$9,$C152)/L152</f>
        <v>0.13</v>
      </c>
      <c r="N152" s="77" t="n">
        <f aca="false">2*L152*(1+SeaMargin)/(I152*24)</f>
        <v>32.4074074074074</v>
      </c>
      <c r="O152" s="84" t="n">
        <f aca="false">(I152/RefSpeed)^SpeedExp</f>
        <v>1</v>
      </c>
      <c r="P152" s="2" t="n">
        <f aca="false">IF(H152&gt;0,1,0)</f>
        <v>1</v>
      </c>
      <c r="Q152" s="71" t="n">
        <f aca="false">N152/2*O152*(ConsLaden+IF(P152=1,ConsLaden,ConsBallast))</f>
        <v>875</v>
      </c>
      <c r="R152" s="71" t="n">
        <f aca="false">Q152*(1-M152)</f>
        <v>761.25</v>
      </c>
      <c r="S152" s="71" t="n">
        <f aca="false">Q152*M152</f>
        <v>113.75</v>
      </c>
      <c r="T152" s="2" t="n">
        <f aca="false">1+P152</f>
        <v>2</v>
      </c>
      <c r="U152" s="77" t="n">
        <f aca="false">INDEX(Routes!$L$6:$L$9,$C152)*T152*F152</f>
        <v>10</v>
      </c>
      <c r="V152" s="77" t="n">
        <f aca="false">INDEX(Routes!$M$6:$M$9,$C152)*T152*F152</f>
        <v>7</v>
      </c>
      <c r="W152" s="77" t="n">
        <f aca="false">INDEX(Routes!$H$6:$H$9,$C152)*2</f>
        <v>0</v>
      </c>
      <c r="X152" s="71" t="n">
        <f aca="false">(U152+V152+W152)*ConsPort</f>
        <v>102</v>
      </c>
      <c r="Y152" s="67" t="n">
        <f aca="false">R152*D152*VLSFO_Mult+(S152+X152)*D152*MGO_Mult</f>
        <v>795440</v>
      </c>
      <c r="Z152" s="67" t="n">
        <f aca="false">(INDEX(Routes!$N$6:$N$9,$C152)+AN152+MIN(AC152*INDEX(Routes!$T$6:$T$9,$C152),INDEX(Routes!$V$6:$V$9,$C152))+INDEX(Routes!$O$6:$O$9,$C152)+AO152+MIN(AC152*INDEX(Routes!$U$6:$U$9,$C152),INDEX(Routes!$W$6:$W$9,$C152))+IF(P152=1,INDEX(Routes!$N$6:$N$9,$C152)+AN152+MIN(AD152*INDEX(Routes!$T$6:$T$9,$C152),INDEX(Routes!$V$6:$V$9,$C152))+INDEX(Routes!$O$6:$O$9,$C152)+AO152+MIN(AD152*INDEX(Routes!$U$6:$U$9,$C152),INDEX(Routes!$W$6:$W$9,$C152)),0))*J152</f>
        <v>252304.2096</v>
      </c>
      <c r="AA152" s="67" t="n">
        <f aca="false">INDEX(Routes!$R$6:$R$9,$C152)+IF(P152=1,INDEX(Routes!$R$6:$R$9,$C152),INDEX(Routes!$S$6:$S$9,$C152))</f>
        <v>0</v>
      </c>
      <c r="AB152" s="67" t="n">
        <f aca="false">((R152*CO2_VLSFO+S152*CO2_MGO)*INDEX(Routes!$I$6:$I$9,$C152)+(U152*INDEX(Routes!$P$6:$P$9,$C152)+V152*INDEX(Routes!$Q$6:$Q$9,$C152))*ConsPort*CO2_MGO)*PhaseIn*K152*FX</f>
        <v>123936.40875</v>
      </c>
      <c r="AC152" s="71" t="n">
        <f aca="false">Capacity*G152</f>
        <v>30600</v>
      </c>
      <c r="AD152" s="71" t="n">
        <f aca="false">Capacity*H152</f>
        <v>18000</v>
      </c>
      <c r="AE152" s="82" t="n">
        <f aca="false">INDEX(Routes!$J$6:$J$9,$C152)*E152</f>
        <v>52</v>
      </c>
      <c r="AF152" s="82" t="n">
        <f aca="false">INDEX(Routes!$K$6:$K$9,$C152)*E152</f>
        <v>38</v>
      </c>
      <c r="AG152" s="67" t="n">
        <f aca="false">AC152*AE152+AD152*AF152</f>
        <v>2275200</v>
      </c>
      <c r="AH152" s="67" t="n">
        <f aca="false">AG152*Commission</f>
        <v>56880</v>
      </c>
      <c r="AI152" s="67" t="n">
        <f aca="false">Y152+Z152+AA152+AB152+MiscVoy</f>
        <v>1196680.61835</v>
      </c>
      <c r="AJ152" s="77" t="n">
        <f aca="false">N152+U152+V152+W152</f>
        <v>49.4074074074074</v>
      </c>
      <c r="AK152" s="94" t="n">
        <f aca="false">(AG152-AH152-AI152)/AJ152</f>
        <v>20677.8585491379</v>
      </c>
      <c r="AL152" s="67" t="n">
        <f aca="false">AG152-AH152-AI152-Benchmark*AJ152</f>
        <v>132306.048316667</v>
      </c>
      <c r="AM152" s="82" t="n">
        <f aca="false">IF(AC152&gt;0,((Benchmark*AJ152+AI152)/(1-Commission)-AD152*AF152)/AC152,0)</f>
        <v>47.5654081341824</v>
      </c>
      <c r="AN152" s="67" t="n">
        <f aca="false">LOA_ft*Port_Tariffs!$C$9*IF((INDEX(Routes!$L$6:$L$9,$C152)*INDEX(Routes!$X$6:$X$9,$C152)*F152)&lt;=2,(INDEX(Routes!$L$6:$L$9,$C152)*INDEX(Routes!$X$6:$X$9,$C152)*F152),IF((INDEX(Routes!$L$6:$L$9,$C152)*INDEX(Routes!$X$6:$X$9,$C152)*F152)&lt;=3,2+0.9*((INDEX(Routes!$L$6:$L$9,$C152)*INDEX(Routes!$X$6:$X$9,$C152)*F152)-2),IF((INDEX(Routes!$L$6:$L$9,$C152)*INDEX(Routes!$X$6:$X$9,$C152)*F152)&lt;=4,2.9+0.75*((INDEX(Routes!$L$6:$L$9,$C152)*INDEX(Routes!$X$6:$X$9,$C152)*F152)-3),IF((INDEX(Routes!$L$6:$L$9,$C152)*INDEX(Routes!$X$6:$X$9,$C152)*F152)&lt;=5,3.65+0.6*((INDEX(Routes!$L$6:$L$9,$C152)*INDEX(Routes!$X$6:$X$9,$C152)*F152)-4),4.25+0.5*((INDEX(Routes!$L$6:$L$9,$C152)*INDEX(Routes!$X$6:$X$9,$C152)*F152)-5)))))</f>
        <v>19557.6</v>
      </c>
      <c r="AO152" s="67" t="n">
        <f aca="false">LOA_ft*Port_Tariffs!$C$9*IF((INDEX(Routes!$M$6:$M$9,$C152)*INDEX(Routes!$Y$6:$Y$9,$C152)*F152)&lt;=2,(INDEX(Routes!$M$6:$M$9,$C152)*INDEX(Routes!$Y$6:$Y$9,$C152)*F152),IF((INDEX(Routes!$M$6:$M$9,$C152)*INDEX(Routes!$Y$6:$Y$9,$C152)*F152)&lt;=3,2+0.9*((INDEX(Routes!$M$6:$M$9,$C152)*INDEX(Routes!$Y$6:$Y$9,$C152)*F152)-2),IF((INDEX(Routes!$M$6:$M$9,$C152)*INDEX(Routes!$Y$6:$Y$9,$C152)*F152)&lt;=4,2.9+0.75*((INDEX(Routes!$M$6:$M$9,$C152)*INDEX(Routes!$Y$6:$Y$9,$C152)*F152)-3),IF((INDEX(Routes!$M$6:$M$9,$C152)*INDEX(Routes!$Y$6:$Y$9,$C152)*F152)&lt;=5,3.65+0.6*((INDEX(Routes!$M$6:$M$9,$C152)*INDEX(Routes!$Y$6:$Y$9,$C152)*F152)-4),4.25+0.5*((INDEX(Routes!$M$6:$M$9,$C152)*INDEX(Routes!$Y$6:$Y$9,$C152)*F152)-5)))))</f>
        <v>0</v>
      </c>
    </row>
    <row r="153" customFormat="false" ht="15" hidden="false" customHeight="false" outlineLevel="0" collapsed="false">
      <c r="A153" s="2" t="s">
        <v>649</v>
      </c>
      <c r="B153" s="2" t="s">
        <v>630</v>
      </c>
      <c r="C153" s="16" t="n">
        <f aca="false">Sw_Route</f>
        <v>1</v>
      </c>
      <c r="D153" s="70" t="n">
        <v>110</v>
      </c>
      <c r="E153" s="92" t="n">
        <v>1</v>
      </c>
      <c r="F153" s="88" t="n">
        <f aca="false">PortMult</f>
        <v>1</v>
      </c>
      <c r="G153" s="89" t="n">
        <f aca="false">UtilFH</f>
        <v>0.85</v>
      </c>
      <c r="H153" s="89" t="n">
        <f aca="false">UtilBH</f>
        <v>0.5</v>
      </c>
      <c r="I153" s="90" t="n">
        <f aca="false">Speed</f>
        <v>13.5</v>
      </c>
      <c r="J153" s="88" t="n">
        <f aca="false">PortCostMult</f>
        <v>1</v>
      </c>
      <c r="K153" s="90" t="n">
        <f aca="false">EUA</f>
        <v>75</v>
      </c>
      <c r="L153" s="71" t="n">
        <f aca="false">INDEX(Routes!$E$6:$E$9,$C153)</f>
        <v>5000</v>
      </c>
      <c r="M153" s="72" t="n">
        <f aca="false">INDEX(Routes!$F$6:$F$9,$C153)/L153</f>
        <v>0.13</v>
      </c>
      <c r="N153" s="77" t="n">
        <f aca="false">2*L153*(1+SeaMargin)/(I153*24)</f>
        <v>32.4074074074074</v>
      </c>
      <c r="O153" s="84" t="n">
        <f aca="false">(I153/RefSpeed)^SpeedExp</f>
        <v>1</v>
      </c>
      <c r="P153" s="2" t="n">
        <f aca="false">IF(H153&gt;0,1,0)</f>
        <v>1</v>
      </c>
      <c r="Q153" s="71" t="n">
        <f aca="false">N153/2*O153*(ConsLaden+IF(P153=1,ConsLaden,ConsBallast))</f>
        <v>875</v>
      </c>
      <c r="R153" s="71" t="n">
        <f aca="false">Q153*(1-M153)</f>
        <v>761.25</v>
      </c>
      <c r="S153" s="71" t="n">
        <f aca="false">Q153*M153</f>
        <v>113.75</v>
      </c>
      <c r="T153" s="2" t="n">
        <f aca="false">1+P153</f>
        <v>2</v>
      </c>
      <c r="U153" s="77" t="n">
        <f aca="false">INDEX(Routes!$L$6:$L$9,$C153)*T153*F153</f>
        <v>10</v>
      </c>
      <c r="V153" s="77" t="n">
        <f aca="false">INDEX(Routes!$M$6:$M$9,$C153)*T153*F153</f>
        <v>7</v>
      </c>
      <c r="W153" s="77" t="n">
        <f aca="false">INDEX(Routes!$H$6:$H$9,$C153)*2</f>
        <v>0</v>
      </c>
      <c r="X153" s="71" t="n">
        <f aca="false">(U153+V153+W153)*ConsPort</f>
        <v>102</v>
      </c>
      <c r="Y153" s="67" t="n">
        <f aca="false">R153*D153*VLSFO_Mult+(S153+X153)*D153*MGO_Mult</f>
        <v>874984</v>
      </c>
      <c r="Z153" s="67" t="n">
        <f aca="false">(INDEX(Routes!$N$6:$N$9,$C153)+AN153+MIN(AC153*INDEX(Routes!$T$6:$T$9,$C153),INDEX(Routes!$V$6:$V$9,$C153))+INDEX(Routes!$O$6:$O$9,$C153)+AO153+MIN(AC153*INDEX(Routes!$U$6:$U$9,$C153),INDEX(Routes!$W$6:$W$9,$C153))+IF(P153=1,INDEX(Routes!$N$6:$N$9,$C153)+AN153+MIN(AD153*INDEX(Routes!$T$6:$T$9,$C153),INDEX(Routes!$V$6:$V$9,$C153))+INDEX(Routes!$O$6:$O$9,$C153)+AO153+MIN(AD153*INDEX(Routes!$U$6:$U$9,$C153),INDEX(Routes!$W$6:$W$9,$C153)),0))*J153</f>
        <v>252304.2096</v>
      </c>
      <c r="AA153" s="67" t="n">
        <f aca="false">INDEX(Routes!$R$6:$R$9,$C153)+IF(P153=1,INDEX(Routes!$R$6:$R$9,$C153),INDEX(Routes!$S$6:$S$9,$C153))</f>
        <v>0</v>
      </c>
      <c r="AB153" s="67" t="n">
        <f aca="false">((R153*CO2_VLSFO+S153*CO2_MGO)*INDEX(Routes!$I$6:$I$9,$C153)+(U153*INDEX(Routes!$P$6:$P$9,$C153)+V153*INDEX(Routes!$Q$6:$Q$9,$C153))*ConsPort*CO2_MGO)*PhaseIn*K153*FX</f>
        <v>123936.40875</v>
      </c>
      <c r="AC153" s="71" t="n">
        <f aca="false">Capacity*G153</f>
        <v>30600</v>
      </c>
      <c r="AD153" s="71" t="n">
        <f aca="false">Capacity*H153</f>
        <v>18000</v>
      </c>
      <c r="AE153" s="82" t="n">
        <f aca="false">INDEX(Routes!$J$6:$J$9,$C153)*E153</f>
        <v>52</v>
      </c>
      <c r="AF153" s="82" t="n">
        <f aca="false">INDEX(Routes!$K$6:$K$9,$C153)*E153</f>
        <v>38</v>
      </c>
      <c r="AG153" s="67" t="n">
        <f aca="false">AC153*AE153+AD153*AF153</f>
        <v>2275200</v>
      </c>
      <c r="AH153" s="67" t="n">
        <f aca="false">AG153*Commission</f>
        <v>56880</v>
      </c>
      <c r="AI153" s="67" t="n">
        <f aca="false">Y153+Z153+AA153+AB153+MiscVoy</f>
        <v>1276224.61835</v>
      </c>
      <c r="AJ153" s="77" t="n">
        <f aca="false">N153+U153+V153+W153</f>
        <v>49.4074074074074</v>
      </c>
      <c r="AK153" s="94" t="n">
        <f aca="false">(AG153-AH153-AI153)/AJ153</f>
        <v>19067.8975296477</v>
      </c>
      <c r="AL153" s="67" t="n">
        <f aca="false">AG153-AH153-AI153-Benchmark*AJ153</f>
        <v>52762.0483166669</v>
      </c>
      <c r="AM153" s="82" t="n">
        <f aca="false">IF(AC153&gt;0,((Benchmark*AJ153+AI153)/(1-Commission)-AD153*AF153)/AC153,0)</f>
        <v>50.2315385179599</v>
      </c>
      <c r="AN153" s="67" t="n">
        <f aca="false">LOA_ft*Port_Tariffs!$C$9*IF((INDEX(Routes!$L$6:$L$9,$C153)*INDEX(Routes!$X$6:$X$9,$C153)*F153)&lt;=2,(INDEX(Routes!$L$6:$L$9,$C153)*INDEX(Routes!$X$6:$X$9,$C153)*F153),IF((INDEX(Routes!$L$6:$L$9,$C153)*INDEX(Routes!$X$6:$X$9,$C153)*F153)&lt;=3,2+0.9*((INDEX(Routes!$L$6:$L$9,$C153)*INDEX(Routes!$X$6:$X$9,$C153)*F153)-2),IF((INDEX(Routes!$L$6:$L$9,$C153)*INDEX(Routes!$X$6:$X$9,$C153)*F153)&lt;=4,2.9+0.75*((INDEX(Routes!$L$6:$L$9,$C153)*INDEX(Routes!$X$6:$X$9,$C153)*F153)-3),IF((INDEX(Routes!$L$6:$L$9,$C153)*INDEX(Routes!$X$6:$X$9,$C153)*F153)&lt;=5,3.65+0.6*((INDEX(Routes!$L$6:$L$9,$C153)*INDEX(Routes!$X$6:$X$9,$C153)*F153)-4),4.25+0.5*((INDEX(Routes!$L$6:$L$9,$C153)*INDEX(Routes!$X$6:$X$9,$C153)*F153)-5)))))</f>
        <v>19557.6</v>
      </c>
      <c r="AO153" s="67" t="n">
        <f aca="false">LOA_ft*Port_Tariffs!$C$9*IF((INDEX(Routes!$M$6:$M$9,$C153)*INDEX(Routes!$Y$6:$Y$9,$C153)*F153)&lt;=2,(INDEX(Routes!$M$6:$M$9,$C153)*INDEX(Routes!$Y$6:$Y$9,$C153)*F153),IF((INDEX(Routes!$M$6:$M$9,$C153)*INDEX(Routes!$Y$6:$Y$9,$C153)*F153)&lt;=3,2+0.9*((INDEX(Routes!$M$6:$M$9,$C153)*INDEX(Routes!$Y$6:$Y$9,$C153)*F153)-2),IF((INDEX(Routes!$M$6:$M$9,$C153)*INDEX(Routes!$Y$6:$Y$9,$C153)*F153)&lt;=4,2.9+0.75*((INDEX(Routes!$M$6:$M$9,$C153)*INDEX(Routes!$Y$6:$Y$9,$C153)*F153)-3),IF((INDEX(Routes!$M$6:$M$9,$C153)*INDEX(Routes!$Y$6:$Y$9,$C153)*F153)&lt;=5,3.65+0.6*((INDEX(Routes!$M$6:$M$9,$C153)*INDEX(Routes!$Y$6:$Y$9,$C153)*F153)-4),4.25+0.5*((INDEX(Routes!$M$6:$M$9,$C153)*INDEX(Routes!$Y$6:$Y$9,$C153)*F153)-5)))))</f>
        <v>0</v>
      </c>
    </row>
    <row r="154" customFormat="false" ht="15" hidden="false" customHeight="false" outlineLevel="0" collapsed="false">
      <c r="A154" s="2" t="s">
        <v>650</v>
      </c>
      <c r="B154" s="2" t="s">
        <v>630</v>
      </c>
      <c r="C154" s="16" t="n">
        <f aca="false">Sw_Route</f>
        <v>1</v>
      </c>
      <c r="D154" s="70" t="n">
        <v>120</v>
      </c>
      <c r="E154" s="92" t="n">
        <v>1</v>
      </c>
      <c r="F154" s="88" t="n">
        <f aca="false">PortMult</f>
        <v>1</v>
      </c>
      <c r="G154" s="89" t="n">
        <f aca="false">UtilFH</f>
        <v>0.85</v>
      </c>
      <c r="H154" s="89" t="n">
        <f aca="false">UtilBH</f>
        <v>0.5</v>
      </c>
      <c r="I154" s="90" t="n">
        <f aca="false">Speed</f>
        <v>13.5</v>
      </c>
      <c r="J154" s="88" t="n">
        <f aca="false">PortCostMult</f>
        <v>1</v>
      </c>
      <c r="K154" s="90" t="n">
        <f aca="false">EUA</f>
        <v>75</v>
      </c>
      <c r="L154" s="71" t="n">
        <f aca="false">INDEX(Routes!$E$6:$E$9,$C154)</f>
        <v>5000</v>
      </c>
      <c r="M154" s="72" t="n">
        <f aca="false">INDEX(Routes!$F$6:$F$9,$C154)/L154</f>
        <v>0.13</v>
      </c>
      <c r="N154" s="77" t="n">
        <f aca="false">2*L154*(1+SeaMargin)/(I154*24)</f>
        <v>32.4074074074074</v>
      </c>
      <c r="O154" s="84" t="n">
        <f aca="false">(I154/RefSpeed)^SpeedExp</f>
        <v>1</v>
      </c>
      <c r="P154" s="2" t="n">
        <f aca="false">IF(H154&gt;0,1,0)</f>
        <v>1</v>
      </c>
      <c r="Q154" s="71" t="n">
        <f aca="false">N154/2*O154*(ConsLaden+IF(P154=1,ConsLaden,ConsBallast))</f>
        <v>875</v>
      </c>
      <c r="R154" s="71" t="n">
        <f aca="false">Q154*(1-M154)</f>
        <v>761.25</v>
      </c>
      <c r="S154" s="71" t="n">
        <f aca="false">Q154*M154</f>
        <v>113.75</v>
      </c>
      <c r="T154" s="2" t="n">
        <f aca="false">1+P154</f>
        <v>2</v>
      </c>
      <c r="U154" s="77" t="n">
        <f aca="false">INDEX(Routes!$L$6:$L$9,$C154)*T154*F154</f>
        <v>10</v>
      </c>
      <c r="V154" s="77" t="n">
        <f aca="false">INDEX(Routes!$M$6:$M$9,$C154)*T154*F154</f>
        <v>7</v>
      </c>
      <c r="W154" s="77" t="n">
        <f aca="false">INDEX(Routes!$H$6:$H$9,$C154)*2</f>
        <v>0</v>
      </c>
      <c r="X154" s="71" t="n">
        <f aca="false">(U154+V154+W154)*ConsPort</f>
        <v>102</v>
      </c>
      <c r="Y154" s="67" t="n">
        <f aca="false">R154*D154*VLSFO_Mult+(S154+X154)*D154*MGO_Mult</f>
        <v>954528</v>
      </c>
      <c r="Z154" s="67" t="n">
        <f aca="false">(INDEX(Routes!$N$6:$N$9,$C154)+AN154+MIN(AC154*INDEX(Routes!$T$6:$T$9,$C154),INDEX(Routes!$V$6:$V$9,$C154))+INDEX(Routes!$O$6:$O$9,$C154)+AO154+MIN(AC154*INDEX(Routes!$U$6:$U$9,$C154),INDEX(Routes!$W$6:$W$9,$C154))+IF(P154=1,INDEX(Routes!$N$6:$N$9,$C154)+AN154+MIN(AD154*INDEX(Routes!$T$6:$T$9,$C154),INDEX(Routes!$V$6:$V$9,$C154))+INDEX(Routes!$O$6:$O$9,$C154)+AO154+MIN(AD154*INDEX(Routes!$U$6:$U$9,$C154),INDEX(Routes!$W$6:$W$9,$C154)),0))*J154</f>
        <v>252304.2096</v>
      </c>
      <c r="AA154" s="67" t="n">
        <f aca="false">INDEX(Routes!$R$6:$R$9,$C154)+IF(P154=1,INDEX(Routes!$R$6:$R$9,$C154),INDEX(Routes!$S$6:$S$9,$C154))</f>
        <v>0</v>
      </c>
      <c r="AB154" s="67" t="n">
        <f aca="false">((R154*CO2_VLSFO+S154*CO2_MGO)*INDEX(Routes!$I$6:$I$9,$C154)+(U154*INDEX(Routes!$P$6:$P$9,$C154)+V154*INDEX(Routes!$Q$6:$Q$9,$C154))*ConsPort*CO2_MGO)*PhaseIn*K154*FX</f>
        <v>123936.40875</v>
      </c>
      <c r="AC154" s="71" t="n">
        <f aca="false">Capacity*G154</f>
        <v>30600</v>
      </c>
      <c r="AD154" s="71" t="n">
        <f aca="false">Capacity*H154</f>
        <v>18000</v>
      </c>
      <c r="AE154" s="82" t="n">
        <f aca="false">INDEX(Routes!$J$6:$J$9,$C154)*E154</f>
        <v>52</v>
      </c>
      <c r="AF154" s="82" t="n">
        <f aca="false">INDEX(Routes!$K$6:$K$9,$C154)*E154</f>
        <v>38</v>
      </c>
      <c r="AG154" s="67" t="n">
        <f aca="false">AC154*AE154+AD154*AF154</f>
        <v>2275200</v>
      </c>
      <c r="AH154" s="67" t="n">
        <f aca="false">AG154*Commission</f>
        <v>56880</v>
      </c>
      <c r="AI154" s="67" t="n">
        <f aca="false">Y154+Z154+AA154+AB154+MiscVoy</f>
        <v>1355768.61835</v>
      </c>
      <c r="AJ154" s="77" t="n">
        <f aca="false">N154+U154+V154+W154</f>
        <v>49.4074074074074</v>
      </c>
      <c r="AK154" s="94" t="n">
        <f aca="false">(AG154-AH154-AI154)/AJ154</f>
        <v>17457.9365101574</v>
      </c>
      <c r="AL154" s="67" t="n">
        <f aca="false">AG154-AH154-AI154-Benchmark*AJ154</f>
        <v>-26781.9516833331</v>
      </c>
      <c r="AM154" s="82" t="n">
        <f aca="false">IF(AC154&gt;0,((Benchmark*AJ154+AI154)/(1-Commission)-AD154*AF154)/AC154,0)</f>
        <v>52.8976689017373</v>
      </c>
      <c r="AN154" s="67" t="n">
        <f aca="false">LOA_ft*Port_Tariffs!$C$9*IF((INDEX(Routes!$L$6:$L$9,$C154)*INDEX(Routes!$X$6:$X$9,$C154)*F154)&lt;=2,(INDEX(Routes!$L$6:$L$9,$C154)*INDEX(Routes!$X$6:$X$9,$C154)*F154),IF((INDEX(Routes!$L$6:$L$9,$C154)*INDEX(Routes!$X$6:$X$9,$C154)*F154)&lt;=3,2+0.9*((INDEX(Routes!$L$6:$L$9,$C154)*INDEX(Routes!$X$6:$X$9,$C154)*F154)-2),IF((INDEX(Routes!$L$6:$L$9,$C154)*INDEX(Routes!$X$6:$X$9,$C154)*F154)&lt;=4,2.9+0.75*((INDEX(Routes!$L$6:$L$9,$C154)*INDEX(Routes!$X$6:$X$9,$C154)*F154)-3),IF((INDEX(Routes!$L$6:$L$9,$C154)*INDEX(Routes!$X$6:$X$9,$C154)*F154)&lt;=5,3.65+0.6*((INDEX(Routes!$L$6:$L$9,$C154)*INDEX(Routes!$X$6:$X$9,$C154)*F154)-4),4.25+0.5*((INDEX(Routes!$L$6:$L$9,$C154)*INDEX(Routes!$X$6:$X$9,$C154)*F154)-5)))))</f>
        <v>19557.6</v>
      </c>
      <c r="AO154" s="67" t="n">
        <f aca="false">LOA_ft*Port_Tariffs!$C$9*IF((INDEX(Routes!$M$6:$M$9,$C154)*INDEX(Routes!$Y$6:$Y$9,$C154)*F154)&lt;=2,(INDEX(Routes!$M$6:$M$9,$C154)*INDEX(Routes!$Y$6:$Y$9,$C154)*F154),IF((INDEX(Routes!$M$6:$M$9,$C154)*INDEX(Routes!$Y$6:$Y$9,$C154)*F154)&lt;=3,2+0.9*((INDEX(Routes!$M$6:$M$9,$C154)*INDEX(Routes!$Y$6:$Y$9,$C154)*F154)-2),IF((INDEX(Routes!$M$6:$M$9,$C154)*INDEX(Routes!$Y$6:$Y$9,$C154)*F154)&lt;=4,2.9+0.75*((INDEX(Routes!$M$6:$M$9,$C154)*INDEX(Routes!$Y$6:$Y$9,$C154)*F154)-3),IF((INDEX(Routes!$M$6:$M$9,$C154)*INDEX(Routes!$Y$6:$Y$9,$C154)*F154)&lt;=5,3.65+0.6*((INDEX(Routes!$M$6:$M$9,$C154)*INDEX(Routes!$Y$6:$Y$9,$C154)*F154)-4),4.25+0.5*((INDEX(Routes!$M$6:$M$9,$C154)*INDEX(Routes!$Y$6:$Y$9,$C154)*F154)-5)))))</f>
        <v>0</v>
      </c>
    </row>
    <row r="155" customFormat="false" ht="15" hidden="false" customHeight="false" outlineLevel="0" collapsed="false">
      <c r="A155" s="2" t="s">
        <v>651</v>
      </c>
      <c r="B155" s="2" t="s">
        <v>630</v>
      </c>
      <c r="C155" s="16" t="n">
        <f aca="false">Sw_Route</f>
        <v>1</v>
      </c>
      <c r="D155" s="70" t="n">
        <v>60</v>
      </c>
      <c r="E155" s="92" t="n">
        <v>1.1</v>
      </c>
      <c r="F155" s="88" t="n">
        <f aca="false">PortMult</f>
        <v>1</v>
      </c>
      <c r="G155" s="89" t="n">
        <f aca="false">UtilFH</f>
        <v>0.85</v>
      </c>
      <c r="H155" s="89" t="n">
        <f aca="false">UtilBH</f>
        <v>0.5</v>
      </c>
      <c r="I155" s="90" t="n">
        <f aca="false">Speed</f>
        <v>13.5</v>
      </c>
      <c r="J155" s="88" t="n">
        <f aca="false">PortCostMult</f>
        <v>1</v>
      </c>
      <c r="K155" s="90" t="n">
        <f aca="false">EUA</f>
        <v>75</v>
      </c>
      <c r="L155" s="71" t="n">
        <f aca="false">INDEX(Routes!$E$6:$E$9,$C155)</f>
        <v>5000</v>
      </c>
      <c r="M155" s="72" t="n">
        <f aca="false">INDEX(Routes!$F$6:$F$9,$C155)/L155</f>
        <v>0.13</v>
      </c>
      <c r="N155" s="77" t="n">
        <f aca="false">2*L155*(1+SeaMargin)/(I155*24)</f>
        <v>32.4074074074074</v>
      </c>
      <c r="O155" s="84" t="n">
        <f aca="false">(I155/RefSpeed)^SpeedExp</f>
        <v>1</v>
      </c>
      <c r="P155" s="2" t="n">
        <f aca="false">IF(H155&gt;0,1,0)</f>
        <v>1</v>
      </c>
      <c r="Q155" s="71" t="n">
        <f aca="false">N155/2*O155*(ConsLaden+IF(P155=1,ConsLaden,ConsBallast))</f>
        <v>875</v>
      </c>
      <c r="R155" s="71" t="n">
        <f aca="false">Q155*(1-M155)</f>
        <v>761.25</v>
      </c>
      <c r="S155" s="71" t="n">
        <f aca="false">Q155*M155</f>
        <v>113.75</v>
      </c>
      <c r="T155" s="2" t="n">
        <f aca="false">1+P155</f>
        <v>2</v>
      </c>
      <c r="U155" s="77" t="n">
        <f aca="false">INDEX(Routes!$L$6:$L$9,$C155)*T155*F155</f>
        <v>10</v>
      </c>
      <c r="V155" s="77" t="n">
        <f aca="false">INDEX(Routes!$M$6:$M$9,$C155)*T155*F155</f>
        <v>7</v>
      </c>
      <c r="W155" s="77" t="n">
        <f aca="false">INDEX(Routes!$H$6:$H$9,$C155)*2</f>
        <v>0</v>
      </c>
      <c r="X155" s="71" t="n">
        <f aca="false">(U155+V155+W155)*ConsPort</f>
        <v>102</v>
      </c>
      <c r="Y155" s="67" t="n">
        <f aca="false">R155*D155*VLSFO_Mult+(S155+X155)*D155*MGO_Mult</f>
        <v>477264</v>
      </c>
      <c r="Z155" s="67" t="n">
        <f aca="false">(INDEX(Routes!$N$6:$N$9,$C155)+AN155+MIN(AC155*INDEX(Routes!$T$6:$T$9,$C155),INDEX(Routes!$V$6:$V$9,$C155))+INDEX(Routes!$O$6:$O$9,$C155)+AO155+MIN(AC155*INDEX(Routes!$U$6:$U$9,$C155),INDEX(Routes!$W$6:$W$9,$C155))+IF(P155=1,INDEX(Routes!$N$6:$N$9,$C155)+AN155+MIN(AD155*INDEX(Routes!$T$6:$T$9,$C155),INDEX(Routes!$V$6:$V$9,$C155))+INDEX(Routes!$O$6:$O$9,$C155)+AO155+MIN(AD155*INDEX(Routes!$U$6:$U$9,$C155),INDEX(Routes!$W$6:$W$9,$C155)),0))*J155</f>
        <v>252304.2096</v>
      </c>
      <c r="AA155" s="67" t="n">
        <f aca="false">INDEX(Routes!$R$6:$R$9,$C155)+IF(P155=1,INDEX(Routes!$R$6:$R$9,$C155),INDEX(Routes!$S$6:$S$9,$C155))</f>
        <v>0</v>
      </c>
      <c r="AB155" s="67" t="n">
        <f aca="false">((R155*CO2_VLSFO+S155*CO2_MGO)*INDEX(Routes!$I$6:$I$9,$C155)+(U155*INDEX(Routes!$P$6:$P$9,$C155)+V155*INDEX(Routes!$Q$6:$Q$9,$C155))*ConsPort*CO2_MGO)*PhaseIn*K155*FX</f>
        <v>123936.40875</v>
      </c>
      <c r="AC155" s="71" t="n">
        <f aca="false">Capacity*G155</f>
        <v>30600</v>
      </c>
      <c r="AD155" s="71" t="n">
        <f aca="false">Capacity*H155</f>
        <v>18000</v>
      </c>
      <c r="AE155" s="82" t="n">
        <f aca="false">INDEX(Routes!$J$6:$J$9,$C155)*E155</f>
        <v>57.2</v>
      </c>
      <c r="AF155" s="82" t="n">
        <f aca="false">INDEX(Routes!$K$6:$K$9,$C155)*E155</f>
        <v>41.8</v>
      </c>
      <c r="AG155" s="67" t="n">
        <f aca="false">AC155*AE155+AD155*AF155</f>
        <v>2502720</v>
      </c>
      <c r="AH155" s="67" t="n">
        <f aca="false">AG155*Commission</f>
        <v>62568</v>
      </c>
      <c r="AI155" s="67" t="n">
        <f aca="false">Y155+Z155+AA155+AB155+MiscVoy</f>
        <v>878504.61835</v>
      </c>
      <c r="AJ155" s="77" t="n">
        <f aca="false">N155+U155+V155+W155</f>
        <v>49.4074074074074</v>
      </c>
      <c r="AK155" s="94" t="n">
        <f aca="false">(AG155-AH155-AI155)/AJ155</f>
        <v>31607.5557005622</v>
      </c>
      <c r="AL155" s="67" t="n">
        <f aca="false">AG155-AH155-AI155-Benchmark*AJ155</f>
        <v>672314.048316667</v>
      </c>
      <c r="AM155" s="82" t="n">
        <f aca="false">IF(AC155&gt;0,((Benchmark*AJ155+AI155)/(1-Commission)-AD155*AF155)/AC155,0)</f>
        <v>34.6655924814256</v>
      </c>
      <c r="AN155" s="67" t="n">
        <f aca="false">LOA_ft*Port_Tariffs!$C$9*IF((INDEX(Routes!$L$6:$L$9,$C155)*INDEX(Routes!$X$6:$X$9,$C155)*F155)&lt;=2,(INDEX(Routes!$L$6:$L$9,$C155)*INDEX(Routes!$X$6:$X$9,$C155)*F155),IF((INDEX(Routes!$L$6:$L$9,$C155)*INDEX(Routes!$X$6:$X$9,$C155)*F155)&lt;=3,2+0.9*((INDEX(Routes!$L$6:$L$9,$C155)*INDEX(Routes!$X$6:$X$9,$C155)*F155)-2),IF((INDEX(Routes!$L$6:$L$9,$C155)*INDEX(Routes!$X$6:$X$9,$C155)*F155)&lt;=4,2.9+0.75*((INDEX(Routes!$L$6:$L$9,$C155)*INDEX(Routes!$X$6:$X$9,$C155)*F155)-3),IF((INDEX(Routes!$L$6:$L$9,$C155)*INDEX(Routes!$X$6:$X$9,$C155)*F155)&lt;=5,3.65+0.6*((INDEX(Routes!$L$6:$L$9,$C155)*INDEX(Routes!$X$6:$X$9,$C155)*F155)-4),4.25+0.5*((INDEX(Routes!$L$6:$L$9,$C155)*INDEX(Routes!$X$6:$X$9,$C155)*F155)-5)))))</f>
        <v>19557.6</v>
      </c>
      <c r="AO155" s="67" t="n">
        <f aca="false">LOA_ft*Port_Tariffs!$C$9*IF((INDEX(Routes!$M$6:$M$9,$C155)*INDEX(Routes!$Y$6:$Y$9,$C155)*F155)&lt;=2,(INDEX(Routes!$M$6:$M$9,$C155)*INDEX(Routes!$Y$6:$Y$9,$C155)*F155),IF((INDEX(Routes!$M$6:$M$9,$C155)*INDEX(Routes!$Y$6:$Y$9,$C155)*F155)&lt;=3,2+0.9*((INDEX(Routes!$M$6:$M$9,$C155)*INDEX(Routes!$Y$6:$Y$9,$C155)*F155)-2),IF((INDEX(Routes!$M$6:$M$9,$C155)*INDEX(Routes!$Y$6:$Y$9,$C155)*F155)&lt;=4,2.9+0.75*((INDEX(Routes!$M$6:$M$9,$C155)*INDEX(Routes!$Y$6:$Y$9,$C155)*F155)-3),IF((INDEX(Routes!$M$6:$M$9,$C155)*INDEX(Routes!$Y$6:$Y$9,$C155)*F155)&lt;=5,3.65+0.6*((INDEX(Routes!$M$6:$M$9,$C155)*INDEX(Routes!$Y$6:$Y$9,$C155)*F155)-4),4.25+0.5*((INDEX(Routes!$M$6:$M$9,$C155)*INDEX(Routes!$Y$6:$Y$9,$C155)*F155)-5)))))</f>
        <v>0</v>
      </c>
    </row>
    <row r="156" customFormat="false" ht="15" hidden="false" customHeight="false" outlineLevel="0" collapsed="false">
      <c r="A156" s="2" t="s">
        <v>652</v>
      </c>
      <c r="B156" s="2" t="s">
        <v>630</v>
      </c>
      <c r="C156" s="16" t="n">
        <f aca="false">Sw_Route</f>
        <v>1</v>
      </c>
      <c r="D156" s="70" t="n">
        <v>70</v>
      </c>
      <c r="E156" s="92" t="n">
        <v>1.1</v>
      </c>
      <c r="F156" s="88" t="n">
        <f aca="false">PortMult</f>
        <v>1</v>
      </c>
      <c r="G156" s="89" t="n">
        <f aca="false">UtilFH</f>
        <v>0.85</v>
      </c>
      <c r="H156" s="89" t="n">
        <f aca="false">UtilBH</f>
        <v>0.5</v>
      </c>
      <c r="I156" s="90" t="n">
        <f aca="false">Speed</f>
        <v>13.5</v>
      </c>
      <c r="J156" s="88" t="n">
        <f aca="false">PortCostMult</f>
        <v>1</v>
      </c>
      <c r="K156" s="90" t="n">
        <f aca="false">EUA</f>
        <v>75</v>
      </c>
      <c r="L156" s="71" t="n">
        <f aca="false">INDEX(Routes!$E$6:$E$9,$C156)</f>
        <v>5000</v>
      </c>
      <c r="M156" s="72" t="n">
        <f aca="false">INDEX(Routes!$F$6:$F$9,$C156)/L156</f>
        <v>0.13</v>
      </c>
      <c r="N156" s="77" t="n">
        <f aca="false">2*L156*(1+SeaMargin)/(I156*24)</f>
        <v>32.4074074074074</v>
      </c>
      <c r="O156" s="84" t="n">
        <f aca="false">(I156/RefSpeed)^SpeedExp</f>
        <v>1</v>
      </c>
      <c r="P156" s="2" t="n">
        <f aca="false">IF(H156&gt;0,1,0)</f>
        <v>1</v>
      </c>
      <c r="Q156" s="71" t="n">
        <f aca="false">N156/2*O156*(ConsLaden+IF(P156=1,ConsLaden,ConsBallast))</f>
        <v>875</v>
      </c>
      <c r="R156" s="71" t="n">
        <f aca="false">Q156*(1-M156)</f>
        <v>761.25</v>
      </c>
      <c r="S156" s="71" t="n">
        <f aca="false">Q156*M156</f>
        <v>113.75</v>
      </c>
      <c r="T156" s="2" t="n">
        <f aca="false">1+P156</f>
        <v>2</v>
      </c>
      <c r="U156" s="77" t="n">
        <f aca="false">INDEX(Routes!$L$6:$L$9,$C156)*T156*F156</f>
        <v>10</v>
      </c>
      <c r="V156" s="77" t="n">
        <f aca="false">INDEX(Routes!$M$6:$M$9,$C156)*T156*F156</f>
        <v>7</v>
      </c>
      <c r="W156" s="77" t="n">
        <f aca="false">INDEX(Routes!$H$6:$H$9,$C156)*2</f>
        <v>0</v>
      </c>
      <c r="X156" s="71" t="n">
        <f aca="false">(U156+V156+W156)*ConsPort</f>
        <v>102</v>
      </c>
      <c r="Y156" s="67" t="n">
        <f aca="false">R156*D156*VLSFO_Mult+(S156+X156)*D156*MGO_Mult</f>
        <v>556808</v>
      </c>
      <c r="Z156" s="67" t="n">
        <f aca="false">(INDEX(Routes!$N$6:$N$9,$C156)+AN156+MIN(AC156*INDEX(Routes!$T$6:$T$9,$C156),INDEX(Routes!$V$6:$V$9,$C156))+INDEX(Routes!$O$6:$O$9,$C156)+AO156+MIN(AC156*INDEX(Routes!$U$6:$U$9,$C156),INDEX(Routes!$W$6:$W$9,$C156))+IF(P156=1,INDEX(Routes!$N$6:$N$9,$C156)+AN156+MIN(AD156*INDEX(Routes!$T$6:$T$9,$C156),INDEX(Routes!$V$6:$V$9,$C156))+INDEX(Routes!$O$6:$O$9,$C156)+AO156+MIN(AD156*INDEX(Routes!$U$6:$U$9,$C156),INDEX(Routes!$W$6:$W$9,$C156)),0))*J156</f>
        <v>252304.2096</v>
      </c>
      <c r="AA156" s="67" t="n">
        <f aca="false">INDEX(Routes!$R$6:$R$9,$C156)+IF(P156=1,INDEX(Routes!$R$6:$R$9,$C156),INDEX(Routes!$S$6:$S$9,$C156))</f>
        <v>0</v>
      </c>
      <c r="AB156" s="67" t="n">
        <f aca="false">((R156*CO2_VLSFO+S156*CO2_MGO)*INDEX(Routes!$I$6:$I$9,$C156)+(U156*INDEX(Routes!$P$6:$P$9,$C156)+V156*INDEX(Routes!$Q$6:$Q$9,$C156))*ConsPort*CO2_MGO)*PhaseIn*K156*FX</f>
        <v>123936.40875</v>
      </c>
      <c r="AC156" s="71" t="n">
        <f aca="false">Capacity*G156</f>
        <v>30600</v>
      </c>
      <c r="AD156" s="71" t="n">
        <f aca="false">Capacity*H156</f>
        <v>18000</v>
      </c>
      <c r="AE156" s="82" t="n">
        <f aca="false">INDEX(Routes!$J$6:$J$9,$C156)*E156</f>
        <v>57.2</v>
      </c>
      <c r="AF156" s="82" t="n">
        <f aca="false">INDEX(Routes!$K$6:$K$9,$C156)*E156</f>
        <v>41.8</v>
      </c>
      <c r="AG156" s="67" t="n">
        <f aca="false">AC156*AE156+AD156*AF156</f>
        <v>2502720</v>
      </c>
      <c r="AH156" s="67" t="n">
        <f aca="false">AG156*Commission</f>
        <v>62568</v>
      </c>
      <c r="AI156" s="67" t="n">
        <f aca="false">Y156+Z156+AA156+AB156+MiscVoy</f>
        <v>958048.61835</v>
      </c>
      <c r="AJ156" s="77" t="n">
        <f aca="false">N156+U156+V156+W156</f>
        <v>49.4074074074074</v>
      </c>
      <c r="AK156" s="94" t="n">
        <f aca="false">(AG156-AH156-AI156)/AJ156</f>
        <v>29997.594681072</v>
      </c>
      <c r="AL156" s="67" t="n">
        <f aca="false">AG156-AH156-AI156-Benchmark*AJ156</f>
        <v>592770.048316667</v>
      </c>
      <c r="AM156" s="82" t="n">
        <f aca="false">IF(AC156&gt;0,((Benchmark*AJ156+AI156)/(1-Commission)-AD156*AF156)/AC156,0)</f>
        <v>37.3317228652031</v>
      </c>
      <c r="AN156" s="67" t="n">
        <f aca="false">LOA_ft*Port_Tariffs!$C$9*IF((INDEX(Routes!$L$6:$L$9,$C156)*INDEX(Routes!$X$6:$X$9,$C156)*F156)&lt;=2,(INDEX(Routes!$L$6:$L$9,$C156)*INDEX(Routes!$X$6:$X$9,$C156)*F156),IF((INDEX(Routes!$L$6:$L$9,$C156)*INDEX(Routes!$X$6:$X$9,$C156)*F156)&lt;=3,2+0.9*((INDEX(Routes!$L$6:$L$9,$C156)*INDEX(Routes!$X$6:$X$9,$C156)*F156)-2),IF((INDEX(Routes!$L$6:$L$9,$C156)*INDEX(Routes!$X$6:$X$9,$C156)*F156)&lt;=4,2.9+0.75*((INDEX(Routes!$L$6:$L$9,$C156)*INDEX(Routes!$X$6:$X$9,$C156)*F156)-3),IF((INDEX(Routes!$L$6:$L$9,$C156)*INDEX(Routes!$X$6:$X$9,$C156)*F156)&lt;=5,3.65+0.6*((INDEX(Routes!$L$6:$L$9,$C156)*INDEX(Routes!$X$6:$X$9,$C156)*F156)-4),4.25+0.5*((INDEX(Routes!$L$6:$L$9,$C156)*INDEX(Routes!$X$6:$X$9,$C156)*F156)-5)))))</f>
        <v>19557.6</v>
      </c>
      <c r="AO156" s="67" t="n">
        <f aca="false">LOA_ft*Port_Tariffs!$C$9*IF((INDEX(Routes!$M$6:$M$9,$C156)*INDEX(Routes!$Y$6:$Y$9,$C156)*F156)&lt;=2,(INDEX(Routes!$M$6:$M$9,$C156)*INDEX(Routes!$Y$6:$Y$9,$C156)*F156),IF((INDEX(Routes!$M$6:$M$9,$C156)*INDEX(Routes!$Y$6:$Y$9,$C156)*F156)&lt;=3,2+0.9*((INDEX(Routes!$M$6:$M$9,$C156)*INDEX(Routes!$Y$6:$Y$9,$C156)*F156)-2),IF((INDEX(Routes!$M$6:$M$9,$C156)*INDEX(Routes!$Y$6:$Y$9,$C156)*F156)&lt;=4,2.9+0.75*((INDEX(Routes!$M$6:$M$9,$C156)*INDEX(Routes!$Y$6:$Y$9,$C156)*F156)-3),IF((INDEX(Routes!$M$6:$M$9,$C156)*INDEX(Routes!$Y$6:$Y$9,$C156)*F156)&lt;=5,3.65+0.6*((INDEX(Routes!$M$6:$M$9,$C156)*INDEX(Routes!$Y$6:$Y$9,$C156)*F156)-4),4.25+0.5*((INDEX(Routes!$M$6:$M$9,$C156)*INDEX(Routes!$Y$6:$Y$9,$C156)*F156)-5)))))</f>
        <v>0</v>
      </c>
    </row>
    <row r="157" customFormat="false" ht="15" hidden="false" customHeight="false" outlineLevel="0" collapsed="false">
      <c r="A157" s="2" t="s">
        <v>653</v>
      </c>
      <c r="B157" s="2" t="s">
        <v>630</v>
      </c>
      <c r="C157" s="16" t="n">
        <f aca="false">Sw_Route</f>
        <v>1</v>
      </c>
      <c r="D157" s="70" t="n">
        <v>80</v>
      </c>
      <c r="E157" s="92" t="n">
        <v>1.1</v>
      </c>
      <c r="F157" s="88" t="n">
        <f aca="false">PortMult</f>
        <v>1</v>
      </c>
      <c r="G157" s="89" t="n">
        <f aca="false">UtilFH</f>
        <v>0.85</v>
      </c>
      <c r="H157" s="89" t="n">
        <f aca="false">UtilBH</f>
        <v>0.5</v>
      </c>
      <c r="I157" s="90" t="n">
        <f aca="false">Speed</f>
        <v>13.5</v>
      </c>
      <c r="J157" s="88" t="n">
        <f aca="false">PortCostMult</f>
        <v>1</v>
      </c>
      <c r="K157" s="90" t="n">
        <f aca="false">EUA</f>
        <v>75</v>
      </c>
      <c r="L157" s="71" t="n">
        <f aca="false">INDEX(Routes!$E$6:$E$9,$C157)</f>
        <v>5000</v>
      </c>
      <c r="M157" s="72" t="n">
        <f aca="false">INDEX(Routes!$F$6:$F$9,$C157)/L157</f>
        <v>0.13</v>
      </c>
      <c r="N157" s="77" t="n">
        <f aca="false">2*L157*(1+SeaMargin)/(I157*24)</f>
        <v>32.4074074074074</v>
      </c>
      <c r="O157" s="84" t="n">
        <f aca="false">(I157/RefSpeed)^SpeedExp</f>
        <v>1</v>
      </c>
      <c r="P157" s="2" t="n">
        <f aca="false">IF(H157&gt;0,1,0)</f>
        <v>1</v>
      </c>
      <c r="Q157" s="71" t="n">
        <f aca="false">N157/2*O157*(ConsLaden+IF(P157=1,ConsLaden,ConsBallast))</f>
        <v>875</v>
      </c>
      <c r="R157" s="71" t="n">
        <f aca="false">Q157*(1-M157)</f>
        <v>761.25</v>
      </c>
      <c r="S157" s="71" t="n">
        <f aca="false">Q157*M157</f>
        <v>113.75</v>
      </c>
      <c r="T157" s="2" t="n">
        <f aca="false">1+P157</f>
        <v>2</v>
      </c>
      <c r="U157" s="77" t="n">
        <f aca="false">INDEX(Routes!$L$6:$L$9,$C157)*T157*F157</f>
        <v>10</v>
      </c>
      <c r="V157" s="77" t="n">
        <f aca="false">INDEX(Routes!$M$6:$M$9,$C157)*T157*F157</f>
        <v>7</v>
      </c>
      <c r="W157" s="77" t="n">
        <f aca="false">INDEX(Routes!$H$6:$H$9,$C157)*2</f>
        <v>0</v>
      </c>
      <c r="X157" s="71" t="n">
        <f aca="false">(U157+V157+W157)*ConsPort</f>
        <v>102</v>
      </c>
      <c r="Y157" s="67" t="n">
        <f aca="false">R157*D157*VLSFO_Mult+(S157+X157)*D157*MGO_Mult</f>
        <v>636352</v>
      </c>
      <c r="Z157" s="67" t="n">
        <f aca="false">(INDEX(Routes!$N$6:$N$9,$C157)+AN157+MIN(AC157*INDEX(Routes!$T$6:$T$9,$C157),INDEX(Routes!$V$6:$V$9,$C157))+INDEX(Routes!$O$6:$O$9,$C157)+AO157+MIN(AC157*INDEX(Routes!$U$6:$U$9,$C157),INDEX(Routes!$W$6:$W$9,$C157))+IF(P157=1,INDEX(Routes!$N$6:$N$9,$C157)+AN157+MIN(AD157*INDEX(Routes!$T$6:$T$9,$C157),INDEX(Routes!$V$6:$V$9,$C157))+INDEX(Routes!$O$6:$O$9,$C157)+AO157+MIN(AD157*INDEX(Routes!$U$6:$U$9,$C157),INDEX(Routes!$W$6:$W$9,$C157)),0))*J157</f>
        <v>252304.2096</v>
      </c>
      <c r="AA157" s="67" t="n">
        <f aca="false">INDEX(Routes!$R$6:$R$9,$C157)+IF(P157=1,INDEX(Routes!$R$6:$R$9,$C157),INDEX(Routes!$S$6:$S$9,$C157))</f>
        <v>0</v>
      </c>
      <c r="AB157" s="67" t="n">
        <f aca="false">((R157*CO2_VLSFO+S157*CO2_MGO)*INDEX(Routes!$I$6:$I$9,$C157)+(U157*INDEX(Routes!$P$6:$P$9,$C157)+V157*INDEX(Routes!$Q$6:$Q$9,$C157))*ConsPort*CO2_MGO)*PhaseIn*K157*FX</f>
        <v>123936.40875</v>
      </c>
      <c r="AC157" s="71" t="n">
        <f aca="false">Capacity*G157</f>
        <v>30600</v>
      </c>
      <c r="AD157" s="71" t="n">
        <f aca="false">Capacity*H157</f>
        <v>18000</v>
      </c>
      <c r="AE157" s="82" t="n">
        <f aca="false">INDEX(Routes!$J$6:$J$9,$C157)*E157</f>
        <v>57.2</v>
      </c>
      <c r="AF157" s="82" t="n">
        <f aca="false">INDEX(Routes!$K$6:$K$9,$C157)*E157</f>
        <v>41.8</v>
      </c>
      <c r="AG157" s="67" t="n">
        <f aca="false">AC157*AE157+AD157*AF157</f>
        <v>2502720</v>
      </c>
      <c r="AH157" s="67" t="n">
        <f aca="false">AG157*Commission</f>
        <v>62568</v>
      </c>
      <c r="AI157" s="67" t="n">
        <f aca="false">Y157+Z157+AA157+AB157+MiscVoy</f>
        <v>1037592.61835</v>
      </c>
      <c r="AJ157" s="77" t="n">
        <f aca="false">N157+U157+V157+W157</f>
        <v>49.4074074074074</v>
      </c>
      <c r="AK157" s="94" t="n">
        <f aca="false">(AG157-AH157-AI157)/AJ157</f>
        <v>28387.6336615817</v>
      </c>
      <c r="AL157" s="67" t="n">
        <f aca="false">AG157-AH157-AI157-Benchmark*AJ157</f>
        <v>513226.048316667</v>
      </c>
      <c r="AM157" s="82" t="n">
        <f aca="false">IF(AC157&gt;0,((Benchmark*AJ157+AI157)/(1-Commission)-AD157*AF157)/AC157,0)</f>
        <v>39.9978532489805</v>
      </c>
      <c r="AN157" s="67" t="n">
        <f aca="false">LOA_ft*Port_Tariffs!$C$9*IF((INDEX(Routes!$L$6:$L$9,$C157)*INDEX(Routes!$X$6:$X$9,$C157)*F157)&lt;=2,(INDEX(Routes!$L$6:$L$9,$C157)*INDEX(Routes!$X$6:$X$9,$C157)*F157),IF((INDEX(Routes!$L$6:$L$9,$C157)*INDEX(Routes!$X$6:$X$9,$C157)*F157)&lt;=3,2+0.9*((INDEX(Routes!$L$6:$L$9,$C157)*INDEX(Routes!$X$6:$X$9,$C157)*F157)-2),IF((INDEX(Routes!$L$6:$L$9,$C157)*INDEX(Routes!$X$6:$X$9,$C157)*F157)&lt;=4,2.9+0.75*((INDEX(Routes!$L$6:$L$9,$C157)*INDEX(Routes!$X$6:$X$9,$C157)*F157)-3),IF((INDEX(Routes!$L$6:$L$9,$C157)*INDEX(Routes!$X$6:$X$9,$C157)*F157)&lt;=5,3.65+0.6*((INDEX(Routes!$L$6:$L$9,$C157)*INDEX(Routes!$X$6:$X$9,$C157)*F157)-4),4.25+0.5*((INDEX(Routes!$L$6:$L$9,$C157)*INDEX(Routes!$X$6:$X$9,$C157)*F157)-5)))))</f>
        <v>19557.6</v>
      </c>
      <c r="AO157" s="67" t="n">
        <f aca="false">LOA_ft*Port_Tariffs!$C$9*IF((INDEX(Routes!$M$6:$M$9,$C157)*INDEX(Routes!$Y$6:$Y$9,$C157)*F157)&lt;=2,(INDEX(Routes!$M$6:$M$9,$C157)*INDEX(Routes!$Y$6:$Y$9,$C157)*F157),IF((INDEX(Routes!$M$6:$M$9,$C157)*INDEX(Routes!$Y$6:$Y$9,$C157)*F157)&lt;=3,2+0.9*((INDEX(Routes!$M$6:$M$9,$C157)*INDEX(Routes!$Y$6:$Y$9,$C157)*F157)-2),IF((INDEX(Routes!$M$6:$M$9,$C157)*INDEX(Routes!$Y$6:$Y$9,$C157)*F157)&lt;=4,2.9+0.75*((INDEX(Routes!$M$6:$M$9,$C157)*INDEX(Routes!$Y$6:$Y$9,$C157)*F157)-3),IF((INDEX(Routes!$M$6:$M$9,$C157)*INDEX(Routes!$Y$6:$Y$9,$C157)*F157)&lt;=5,3.65+0.6*((INDEX(Routes!$M$6:$M$9,$C157)*INDEX(Routes!$Y$6:$Y$9,$C157)*F157)-4),4.25+0.5*((INDEX(Routes!$M$6:$M$9,$C157)*INDEX(Routes!$Y$6:$Y$9,$C157)*F157)-5)))))</f>
        <v>0</v>
      </c>
    </row>
    <row r="158" customFormat="false" ht="15" hidden="false" customHeight="false" outlineLevel="0" collapsed="false">
      <c r="A158" s="2" t="s">
        <v>654</v>
      </c>
      <c r="B158" s="2" t="s">
        <v>630</v>
      </c>
      <c r="C158" s="16" t="n">
        <f aca="false">Sw_Route</f>
        <v>1</v>
      </c>
      <c r="D158" s="70" t="n">
        <v>90</v>
      </c>
      <c r="E158" s="92" t="n">
        <v>1.1</v>
      </c>
      <c r="F158" s="88" t="n">
        <f aca="false">PortMult</f>
        <v>1</v>
      </c>
      <c r="G158" s="89" t="n">
        <f aca="false">UtilFH</f>
        <v>0.85</v>
      </c>
      <c r="H158" s="89" t="n">
        <f aca="false">UtilBH</f>
        <v>0.5</v>
      </c>
      <c r="I158" s="90" t="n">
        <f aca="false">Speed</f>
        <v>13.5</v>
      </c>
      <c r="J158" s="88" t="n">
        <f aca="false">PortCostMult</f>
        <v>1</v>
      </c>
      <c r="K158" s="90" t="n">
        <f aca="false">EUA</f>
        <v>75</v>
      </c>
      <c r="L158" s="71" t="n">
        <f aca="false">INDEX(Routes!$E$6:$E$9,$C158)</f>
        <v>5000</v>
      </c>
      <c r="M158" s="72" t="n">
        <f aca="false">INDEX(Routes!$F$6:$F$9,$C158)/L158</f>
        <v>0.13</v>
      </c>
      <c r="N158" s="77" t="n">
        <f aca="false">2*L158*(1+SeaMargin)/(I158*24)</f>
        <v>32.4074074074074</v>
      </c>
      <c r="O158" s="84" t="n">
        <f aca="false">(I158/RefSpeed)^SpeedExp</f>
        <v>1</v>
      </c>
      <c r="P158" s="2" t="n">
        <f aca="false">IF(H158&gt;0,1,0)</f>
        <v>1</v>
      </c>
      <c r="Q158" s="71" t="n">
        <f aca="false">N158/2*O158*(ConsLaden+IF(P158=1,ConsLaden,ConsBallast))</f>
        <v>875</v>
      </c>
      <c r="R158" s="71" t="n">
        <f aca="false">Q158*(1-M158)</f>
        <v>761.25</v>
      </c>
      <c r="S158" s="71" t="n">
        <f aca="false">Q158*M158</f>
        <v>113.75</v>
      </c>
      <c r="T158" s="2" t="n">
        <f aca="false">1+P158</f>
        <v>2</v>
      </c>
      <c r="U158" s="77" t="n">
        <f aca="false">INDEX(Routes!$L$6:$L$9,$C158)*T158*F158</f>
        <v>10</v>
      </c>
      <c r="V158" s="77" t="n">
        <f aca="false">INDEX(Routes!$M$6:$M$9,$C158)*T158*F158</f>
        <v>7</v>
      </c>
      <c r="W158" s="77" t="n">
        <f aca="false">INDEX(Routes!$H$6:$H$9,$C158)*2</f>
        <v>0</v>
      </c>
      <c r="X158" s="71" t="n">
        <f aca="false">(U158+V158+W158)*ConsPort</f>
        <v>102</v>
      </c>
      <c r="Y158" s="67" t="n">
        <f aca="false">R158*D158*VLSFO_Mult+(S158+X158)*D158*MGO_Mult</f>
        <v>715896</v>
      </c>
      <c r="Z158" s="67" t="n">
        <f aca="false">(INDEX(Routes!$N$6:$N$9,$C158)+AN158+MIN(AC158*INDEX(Routes!$T$6:$T$9,$C158),INDEX(Routes!$V$6:$V$9,$C158))+INDEX(Routes!$O$6:$O$9,$C158)+AO158+MIN(AC158*INDEX(Routes!$U$6:$U$9,$C158),INDEX(Routes!$W$6:$W$9,$C158))+IF(P158=1,INDEX(Routes!$N$6:$N$9,$C158)+AN158+MIN(AD158*INDEX(Routes!$T$6:$T$9,$C158),INDEX(Routes!$V$6:$V$9,$C158))+INDEX(Routes!$O$6:$O$9,$C158)+AO158+MIN(AD158*INDEX(Routes!$U$6:$U$9,$C158),INDEX(Routes!$W$6:$W$9,$C158)),0))*J158</f>
        <v>252304.2096</v>
      </c>
      <c r="AA158" s="67" t="n">
        <f aca="false">INDEX(Routes!$R$6:$R$9,$C158)+IF(P158=1,INDEX(Routes!$R$6:$R$9,$C158),INDEX(Routes!$S$6:$S$9,$C158))</f>
        <v>0</v>
      </c>
      <c r="AB158" s="67" t="n">
        <f aca="false">((R158*CO2_VLSFO+S158*CO2_MGO)*INDEX(Routes!$I$6:$I$9,$C158)+(U158*INDEX(Routes!$P$6:$P$9,$C158)+V158*INDEX(Routes!$Q$6:$Q$9,$C158))*ConsPort*CO2_MGO)*PhaseIn*K158*FX</f>
        <v>123936.40875</v>
      </c>
      <c r="AC158" s="71" t="n">
        <f aca="false">Capacity*G158</f>
        <v>30600</v>
      </c>
      <c r="AD158" s="71" t="n">
        <f aca="false">Capacity*H158</f>
        <v>18000</v>
      </c>
      <c r="AE158" s="82" t="n">
        <f aca="false">INDEX(Routes!$J$6:$J$9,$C158)*E158</f>
        <v>57.2</v>
      </c>
      <c r="AF158" s="82" t="n">
        <f aca="false">INDEX(Routes!$K$6:$K$9,$C158)*E158</f>
        <v>41.8</v>
      </c>
      <c r="AG158" s="67" t="n">
        <f aca="false">AC158*AE158+AD158*AF158</f>
        <v>2502720</v>
      </c>
      <c r="AH158" s="67" t="n">
        <f aca="false">AG158*Commission</f>
        <v>62568</v>
      </c>
      <c r="AI158" s="67" t="n">
        <f aca="false">Y158+Z158+AA158+AB158+MiscVoy</f>
        <v>1117136.61835</v>
      </c>
      <c r="AJ158" s="77" t="n">
        <f aca="false">N158+U158+V158+W158</f>
        <v>49.4074074074074</v>
      </c>
      <c r="AK158" s="94" t="n">
        <f aca="false">(AG158-AH158-AI158)/AJ158</f>
        <v>26777.6726420915</v>
      </c>
      <c r="AL158" s="67" t="n">
        <f aca="false">AG158-AH158-AI158-Benchmark*AJ158</f>
        <v>433682.048316667</v>
      </c>
      <c r="AM158" s="82" t="n">
        <f aca="false">IF(AC158&gt;0,((Benchmark*AJ158+AI158)/(1-Commission)-AD158*AF158)/AC158,0)</f>
        <v>42.6639836327579</v>
      </c>
      <c r="AN158" s="67" t="n">
        <f aca="false">LOA_ft*Port_Tariffs!$C$9*IF((INDEX(Routes!$L$6:$L$9,$C158)*INDEX(Routes!$X$6:$X$9,$C158)*F158)&lt;=2,(INDEX(Routes!$L$6:$L$9,$C158)*INDEX(Routes!$X$6:$X$9,$C158)*F158),IF((INDEX(Routes!$L$6:$L$9,$C158)*INDEX(Routes!$X$6:$X$9,$C158)*F158)&lt;=3,2+0.9*((INDEX(Routes!$L$6:$L$9,$C158)*INDEX(Routes!$X$6:$X$9,$C158)*F158)-2),IF((INDEX(Routes!$L$6:$L$9,$C158)*INDEX(Routes!$X$6:$X$9,$C158)*F158)&lt;=4,2.9+0.75*((INDEX(Routes!$L$6:$L$9,$C158)*INDEX(Routes!$X$6:$X$9,$C158)*F158)-3),IF((INDEX(Routes!$L$6:$L$9,$C158)*INDEX(Routes!$X$6:$X$9,$C158)*F158)&lt;=5,3.65+0.6*((INDEX(Routes!$L$6:$L$9,$C158)*INDEX(Routes!$X$6:$X$9,$C158)*F158)-4),4.25+0.5*((INDEX(Routes!$L$6:$L$9,$C158)*INDEX(Routes!$X$6:$X$9,$C158)*F158)-5)))))</f>
        <v>19557.6</v>
      </c>
      <c r="AO158" s="67" t="n">
        <f aca="false">LOA_ft*Port_Tariffs!$C$9*IF((INDEX(Routes!$M$6:$M$9,$C158)*INDEX(Routes!$Y$6:$Y$9,$C158)*F158)&lt;=2,(INDEX(Routes!$M$6:$M$9,$C158)*INDEX(Routes!$Y$6:$Y$9,$C158)*F158),IF((INDEX(Routes!$M$6:$M$9,$C158)*INDEX(Routes!$Y$6:$Y$9,$C158)*F158)&lt;=3,2+0.9*((INDEX(Routes!$M$6:$M$9,$C158)*INDEX(Routes!$Y$6:$Y$9,$C158)*F158)-2),IF((INDEX(Routes!$M$6:$M$9,$C158)*INDEX(Routes!$Y$6:$Y$9,$C158)*F158)&lt;=4,2.9+0.75*((INDEX(Routes!$M$6:$M$9,$C158)*INDEX(Routes!$Y$6:$Y$9,$C158)*F158)-3),IF((INDEX(Routes!$M$6:$M$9,$C158)*INDEX(Routes!$Y$6:$Y$9,$C158)*F158)&lt;=5,3.65+0.6*((INDEX(Routes!$M$6:$M$9,$C158)*INDEX(Routes!$Y$6:$Y$9,$C158)*F158)-4),4.25+0.5*((INDEX(Routes!$M$6:$M$9,$C158)*INDEX(Routes!$Y$6:$Y$9,$C158)*F158)-5)))))</f>
        <v>0</v>
      </c>
    </row>
    <row r="159" customFormat="false" ht="15" hidden="false" customHeight="false" outlineLevel="0" collapsed="false">
      <c r="A159" s="2" t="s">
        <v>655</v>
      </c>
      <c r="B159" s="2" t="s">
        <v>630</v>
      </c>
      <c r="C159" s="16" t="n">
        <f aca="false">Sw_Route</f>
        <v>1</v>
      </c>
      <c r="D159" s="70" t="n">
        <v>100</v>
      </c>
      <c r="E159" s="92" t="n">
        <v>1.1</v>
      </c>
      <c r="F159" s="88" t="n">
        <f aca="false">PortMult</f>
        <v>1</v>
      </c>
      <c r="G159" s="89" t="n">
        <f aca="false">UtilFH</f>
        <v>0.85</v>
      </c>
      <c r="H159" s="89" t="n">
        <f aca="false">UtilBH</f>
        <v>0.5</v>
      </c>
      <c r="I159" s="90" t="n">
        <f aca="false">Speed</f>
        <v>13.5</v>
      </c>
      <c r="J159" s="88" t="n">
        <f aca="false">PortCostMult</f>
        <v>1</v>
      </c>
      <c r="K159" s="90" t="n">
        <f aca="false">EUA</f>
        <v>75</v>
      </c>
      <c r="L159" s="71" t="n">
        <f aca="false">INDEX(Routes!$E$6:$E$9,$C159)</f>
        <v>5000</v>
      </c>
      <c r="M159" s="72" t="n">
        <f aca="false">INDEX(Routes!$F$6:$F$9,$C159)/L159</f>
        <v>0.13</v>
      </c>
      <c r="N159" s="77" t="n">
        <f aca="false">2*L159*(1+SeaMargin)/(I159*24)</f>
        <v>32.4074074074074</v>
      </c>
      <c r="O159" s="84" t="n">
        <f aca="false">(I159/RefSpeed)^SpeedExp</f>
        <v>1</v>
      </c>
      <c r="P159" s="2" t="n">
        <f aca="false">IF(H159&gt;0,1,0)</f>
        <v>1</v>
      </c>
      <c r="Q159" s="71" t="n">
        <f aca="false">N159/2*O159*(ConsLaden+IF(P159=1,ConsLaden,ConsBallast))</f>
        <v>875</v>
      </c>
      <c r="R159" s="71" t="n">
        <f aca="false">Q159*(1-M159)</f>
        <v>761.25</v>
      </c>
      <c r="S159" s="71" t="n">
        <f aca="false">Q159*M159</f>
        <v>113.75</v>
      </c>
      <c r="T159" s="2" t="n">
        <f aca="false">1+P159</f>
        <v>2</v>
      </c>
      <c r="U159" s="77" t="n">
        <f aca="false">INDEX(Routes!$L$6:$L$9,$C159)*T159*F159</f>
        <v>10</v>
      </c>
      <c r="V159" s="77" t="n">
        <f aca="false">INDEX(Routes!$M$6:$M$9,$C159)*T159*F159</f>
        <v>7</v>
      </c>
      <c r="W159" s="77" t="n">
        <f aca="false">INDEX(Routes!$H$6:$H$9,$C159)*2</f>
        <v>0</v>
      </c>
      <c r="X159" s="71" t="n">
        <f aca="false">(U159+V159+W159)*ConsPort</f>
        <v>102</v>
      </c>
      <c r="Y159" s="67" t="n">
        <f aca="false">R159*D159*VLSFO_Mult+(S159+X159)*D159*MGO_Mult</f>
        <v>795440</v>
      </c>
      <c r="Z159" s="67" t="n">
        <f aca="false">(INDEX(Routes!$N$6:$N$9,$C159)+AN159+MIN(AC159*INDEX(Routes!$T$6:$T$9,$C159),INDEX(Routes!$V$6:$V$9,$C159))+INDEX(Routes!$O$6:$O$9,$C159)+AO159+MIN(AC159*INDEX(Routes!$U$6:$U$9,$C159),INDEX(Routes!$W$6:$W$9,$C159))+IF(P159=1,INDEX(Routes!$N$6:$N$9,$C159)+AN159+MIN(AD159*INDEX(Routes!$T$6:$T$9,$C159),INDEX(Routes!$V$6:$V$9,$C159))+INDEX(Routes!$O$6:$O$9,$C159)+AO159+MIN(AD159*INDEX(Routes!$U$6:$U$9,$C159),INDEX(Routes!$W$6:$W$9,$C159)),0))*J159</f>
        <v>252304.2096</v>
      </c>
      <c r="AA159" s="67" t="n">
        <f aca="false">INDEX(Routes!$R$6:$R$9,$C159)+IF(P159=1,INDEX(Routes!$R$6:$R$9,$C159),INDEX(Routes!$S$6:$S$9,$C159))</f>
        <v>0</v>
      </c>
      <c r="AB159" s="67" t="n">
        <f aca="false">((R159*CO2_VLSFO+S159*CO2_MGO)*INDEX(Routes!$I$6:$I$9,$C159)+(U159*INDEX(Routes!$P$6:$P$9,$C159)+V159*INDEX(Routes!$Q$6:$Q$9,$C159))*ConsPort*CO2_MGO)*PhaseIn*K159*FX</f>
        <v>123936.40875</v>
      </c>
      <c r="AC159" s="71" t="n">
        <f aca="false">Capacity*G159</f>
        <v>30600</v>
      </c>
      <c r="AD159" s="71" t="n">
        <f aca="false">Capacity*H159</f>
        <v>18000</v>
      </c>
      <c r="AE159" s="82" t="n">
        <f aca="false">INDEX(Routes!$J$6:$J$9,$C159)*E159</f>
        <v>57.2</v>
      </c>
      <c r="AF159" s="82" t="n">
        <f aca="false">INDEX(Routes!$K$6:$K$9,$C159)*E159</f>
        <v>41.8</v>
      </c>
      <c r="AG159" s="67" t="n">
        <f aca="false">AC159*AE159+AD159*AF159</f>
        <v>2502720</v>
      </c>
      <c r="AH159" s="67" t="n">
        <f aca="false">AG159*Commission</f>
        <v>62568</v>
      </c>
      <c r="AI159" s="67" t="n">
        <f aca="false">Y159+Z159+AA159+AB159+MiscVoy</f>
        <v>1196680.61835</v>
      </c>
      <c r="AJ159" s="77" t="n">
        <f aca="false">N159+U159+V159+W159</f>
        <v>49.4074074074074</v>
      </c>
      <c r="AK159" s="94" t="n">
        <f aca="false">(AG159-AH159-AI159)/AJ159</f>
        <v>25167.7116226012</v>
      </c>
      <c r="AL159" s="67" t="n">
        <f aca="false">AG159-AH159-AI159-Benchmark*AJ159</f>
        <v>354138.048316667</v>
      </c>
      <c r="AM159" s="82" t="n">
        <f aca="false">IF(AC159&gt;0,((Benchmark*AJ159+AI159)/(1-Commission)-AD159*AF159)/AC159,0)</f>
        <v>45.3301140165354</v>
      </c>
      <c r="AN159" s="67" t="n">
        <f aca="false">LOA_ft*Port_Tariffs!$C$9*IF((INDEX(Routes!$L$6:$L$9,$C159)*INDEX(Routes!$X$6:$X$9,$C159)*F159)&lt;=2,(INDEX(Routes!$L$6:$L$9,$C159)*INDEX(Routes!$X$6:$X$9,$C159)*F159),IF((INDEX(Routes!$L$6:$L$9,$C159)*INDEX(Routes!$X$6:$X$9,$C159)*F159)&lt;=3,2+0.9*((INDEX(Routes!$L$6:$L$9,$C159)*INDEX(Routes!$X$6:$X$9,$C159)*F159)-2),IF((INDEX(Routes!$L$6:$L$9,$C159)*INDEX(Routes!$X$6:$X$9,$C159)*F159)&lt;=4,2.9+0.75*((INDEX(Routes!$L$6:$L$9,$C159)*INDEX(Routes!$X$6:$X$9,$C159)*F159)-3),IF((INDEX(Routes!$L$6:$L$9,$C159)*INDEX(Routes!$X$6:$X$9,$C159)*F159)&lt;=5,3.65+0.6*((INDEX(Routes!$L$6:$L$9,$C159)*INDEX(Routes!$X$6:$X$9,$C159)*F159)-4),4.25+0.5*((INDEX(Routes!$L$6:$L$9,$C159)*INDEX(Routes!$X$6:$X$9,$C159)*F159)-5)))))</f>
        <v>19557.6</v>
      </c>
      <c r="AO159" s="67" t="n">
        <f aca="false">LOA_ft*Port_Tariffs!$C$9*IF((INDEX(Routes!$M$6:$M$9,$C159)*INDEX(Routes!$Y$6:$Y$9,$C159)*F159)&lt;=2,(INDEX(Routes!$M$6:$M$9,$C159)*INDEX(Routes!$Y$6:$Y$9,$C159)*F159),IF((INDEX(Routes!$M$6:$M$9,$C159)*INDEX(Routes!$Y$6:$Y$9,$C159)*F159)&lt;=3,2+0.9*((INDEX(Routes!$M$6:$M$9,$C159)*INDEX(Routes!$Y$6:$Y$9,$C159)*F159)-2),IF((INDEX(Routes!$M$6:$M$9,$C159)*INDEX(Routes!$Y$6:$Y$9,$C159)*F159)&lt;=4,2.9+0.75*((INDEX(Routes!$M$6:$M$9,$C159)*INDEX(Routes!$Y$6:$Y$9,$C159)*F159)-3),IF((INDEX(Routes!$M$6:$M$9,$C159)*INDEX(Routes!$Y$6:$Y$9,$C159)*F159)&lt;=5,3.65+0.6*((INDEX(Routes!$M$6:$M$9,$C159)*INDEX(Routes!$Y$6:$Y$9,$C159)*F159)-4),4.25+0.5*((INDEX(Routes!$M$6:$M$9,$C159)*INDEX(Routes!$Y$6:$Y$9,$C159)*F159)-5)))))</f>
        <v>0</v>
      </c>
    </row>
    <row r="160" customFormat="false" ht="15" hidden="false" customHeight="false" outlineLevel="0" collapsed="false">
      <c r="A160" s="2" t="s">
        <v>656</v>
      </c>
      <c r="B160" s="2" t="s">
        <v>630</v>
      </c>
      <c r="C160" s="16" t="n">
        <f aca="false">Sw_Route</f>
        <v>1</v>
      </c>
      <c r="D160" s="70" t="n">
        <v>110</v>
      </c>
      <c r="E160" s="92" t="n">
        <v>1.1</v>
      </c>
      <c r="F160" s="88" t="n">
        <f aca="false">PortMult</f>
        <v>1</v>
      </c>
      <c r="G160" s="89" t="n">
        <f aca="false">UtilFH</f>
        <v>0.85</v>
      </c>
      <c r="H160" s="89" t="n">
        <f aca="false">UtilBH</f>
        <v>0.5</v>
      </c>
      <c r="I160" s="90" t="n">
        <f aca="false">Speed</f>
        <v>13.5</v>
      </c>
      <c r="J160" s="88" t="n">
        <f aca="false">PortCostMult</f>
        <v>1</v>
      </c>
      <c r="K160" s="90" t="n">
        <f aca="false">EUA</f>
        <v>75</v>
      </c>
      <c r="L160" s="71" t="n">
        <f aca="false">INDEX(Routes!$E$6:$E$9,$C160)</f>
        <v>5000</v>
      </c>
      <c r="M160" s="72" t="n">
        <f aca="false">INDEX(Routes!$F$6:$F$9,$C160)/L160</f>
        <v>0.13</v>
      </c>
      <c r="N160" s="77" t="n">
        <f aca="false">2*L160*(1+SeaMargin)/(I160*24)</f>
        <v>32.4074074074074</v>
      </c>
      <c r="O160" s="84" t="n">
        <f aca="false">(I160/RefSpeed)^SpeedExp</f>
        <v>1</v>
      </c>
      <c r="P160" s="2" t="n">
        <f aca="false">IF(H160&gt;0,1,0)</f>
        <v>1</v>
      </c>
      <c r="Q160" s="71" t="n">
        <f aca="false">N160/2*O160*(ConsLaden+IF(P160=1,ConsLaden,ConsBallast))</f>
        <v>875</v>
      </c>
      <c r="R160" s="71" t="n">
        <f aca="false">Q160*(1-M160)</f>
        <v>761.25</v>
      </c>
      <c r="S160" s="71" t="n">
        <f aca="false">Q160*M160</f>
        <v>113.75</v>
      </c>
      <c r="T160" s="2" t="n">
        <f aca="false">1+P160</f>
        <v>2</v>
      </c>
      <c r="U160" s="77" t="n">
        <f aca="false">INDEX(Routes!$L$6:$L$9,$C160)*T160*F160</f>
        <v>10</v>
      </c>
      <c r="V160" s="77" t="n">
        <f aca="false">INDEX(Routes!$M$6:$M$9,$C160)*T160*F160</f>
        <v>7</v>
      </c>
      <c r="W160" s="77" t="n">
        <f aca="false">INDEX(Routes!$H$6:$H$9,$C160)*2</f>
        <v>0</v>
      </c>
      <c r="X160" s="71" t="n">
        <f aca="false">(U160+V160+W160)*ConsPort</f>
        <v>102</v>
      </c>
      <c r="Y160" s="67" t="n">
        <f aca="false">R160*D160*VLSFO_Mult+(S160+X160)*D160*MGO_Mult</f>
        <v>874984</v>
      </c>
      <c r="Z160" s="67" t="n">
        <f aca="false">(INDEX(Routes!$N$6:$N$9,$C160)+AN160+MIN(AC160*INDEX(Routes!$T$6:$T$9,$C160),INDEX(Routes!$V$6:$V$9,$C160))+INDEX(Routes!$O$6:$O$9,$C160)+AO160+MIN(AC160*INDEX(Routes!$U$6:$U$9,$C160),INDEX(Routes!$W$6:$W$9,$C160))+IF(P160=1,INDEX(Routes!$N$6:$N$9,$C160)+AN160+MIN(AD160*INDEX(Routes!$T$6:$T$9,$C160),INDEX(Routes!$V$6:$V$9,$C160))+INDEX(Routes!$O$6:$O$9,$C160)+AO160+MIN(AD160*INDEX(Routes!$U$6:$U$9,$C160),INDEX(Routes!$W$6:$W$9,$C160)),0))*J160</f>
        <v>252304.2096</v>
      </c>
      <c r="AA160" s="67" t="n">
        <f aca="false">INDEX(Routes!$R$6:$R$9,$C160)+IF(P160=1,INDEX(Routes!$R$6:$R$9,$C160),INDEX(Routes!$S$6:$S$9,$C160))</f>
        <v>0</v>
      </c>
      <c r="AB160" s="67" t="n">
        <f aca="false">((R160*CO2_VLSFO+S160*CO2_MGO)*INDEX(Routes!$I$6:$I$9,$C160)+(U160*INDEX(Routes!$P$6:$P$9,$C160)+V160*INDEX(Routes!$Q$6:$Q$9,$C160))*ConsPort*CO2_MGO)*PhaseIn*K160*FX</f>
        <v>123936.40875</v>
      </c>
      <c r="AC160" s="71" t="n">
        <f aca="false">Capacity*G160</f>
        <v>30600</v>
      </c>
      <c r="AD160" s="71" t="n">
        <f aca="false">Capacity*H160</f>
        <v>18000</v>
      </c>
      <c r="AE160" s="82" t="n">
        <f aca="false">INDEX(Routes!$J$6:$J$9,$C160)*E160</f>
        <v>57.2</v>
      </c>
      <c r="AF160" s="82" t="n">
        <f aca="false">INDEX(Routes!$K$6:$K$9,$C160)*E160</f>
        <v>41.8</v>
      </c>
      <c r="AG160" s="67" t="n">
        <f aca="false">AC160*AE160+AD160*AF160</f>
        <v>2502720</v>
      </c>
      <c r="AH160" s="67" t="n">
        <f aca="false">AG160*Commission</f>
        <v>62568</v>
      </c>
      <c r="AI160" s="67" t="n">
        <f aca="false">Y160+Z160+AA160+AB160+MiscVoy</f>
        <v>1276224.61835</v>
      </c>
      <c r="AJ160" s="77" t="n">
        <f aca="false">N160+U160+V160+W160</f>
        <v>49.4074074074074</v>
      </c>
      <c r="AK160" s="94" t="n">
        <f aca="false">(AG160-AH160-AI160)/AJ160</f>
        <v>23557.7506031109</v>
      </c>
      <c r="AL160" s="67" t="n">
        <f aca="false">AG160-AH160-AI160-Benchmark*AJ160</f>
        <v>274594.048316667</v>
      </c>
      <c r="AM160" s="82" t="n">
        <f aca="false">IF(AC160&gt;0,((Benchmark*AJ160+AI160)/(1-Commission)-AD160*AF160)/AC160,0)</f>
        <v>47.9962444003128</v>
      </c>
      <c r="AN160" s="67" t="n">
        <f aca="false">LOA_ft*Port_Tariffs!$C$9*IF((INDEX(Routes!$L$6:$L$9,$C160)*INDEX(Routes!$X$6:$X$9,$C160)*F160)&lt;=2,(INDEX(Routes!$L$6:$L$9,$C160)*INDEX(Routes!$X$6:$X$9,$C160)*F160),IF((INDEX(Routes!$L$6:$L$9,$C160)*INDEX(Routes!$X$6:$X$9,$C160)*F160)&lt;=3,2+0.9*((INDEX(Routes!$L$6:$L$9,$C160)*INDEX(Routes!$X$6:$X$9,$C160)*F160)-2),IF((INDEX(Routes!$L$6:$L$9,$C160)*INDEX(Routes!$X$6:$X$9,$C160)*F160)&lt;=4,2.9+0.75*((INDEX(Routes!$L$6:$L$9,$C160)*INDEX(Routes!$X$6:$X$9,$C160)*F160)-3),IF((INDEX(Routes!$L$6:$L$9,$C160)*INDEX(Routes!$X$6:$X$9,$C160)*F160)&lt;=5,3.65+0.6*((INDEX(Routes!$L$6:$L$9,$C160)*INDEX(Routes!$X$6:$X$9,$C160)*F160)-4),4.25+0.5*((INDEX(Routes!$L$6:$L$9,$C160)*INDEX(Routes!$X$6:$X$9,$C160)*F160)-5)))))</f>
        <v>19557.6</v>
      </c>
      <c r="AO160" s="67" t="n">
        <f aca="false">LOA_ft*Port_Tariffs!$C$9*IF((INDEX(Routes!$M$6:$M$9,$C160)*INDEX(Routes!$Y$6:$Y$9,$C160)*F160)&lt;=2,(INDEX(Routes!$M$6:$M$9,$C160)*INDEX(Routes!$Y$6:$Y$9,$C160)*F160),IF((INDEX(Routes!$M$6:$M$9,$C160)*INDEX(Routes!$Y$6:$Y$9,$C160)*F160)&lt;=3,2+0.9*((INDEX(Routes!$M$6:$M$9,$C160)*INDEX(Routes!$Y$6:$Y$9,$C160)*F160)-2),IF((INDEX(Routes!$M$6:$M$9,$C160)*INDEX(Routes!$Y$6:$Y$9,$C160)*F160)&lt;=4,2.9+0.75*((INDEX(Routes!$M$6:$M$9,$C160)*INDEX(Routes!$Y$6:$Y$9,$C160)*F160)-3),IF((INDEX(Routes!$M$6:$M$9,$C160)*INDEX(Routes!$Y$6:$Y$9,$C160)*F160)&lt;=5,3.65+0.6*((INDEX(Routes!$M$6:$M$9,$C160)*INDEX(Routes!$Y$6:$Y$9,$C160)*F160)-4),4.25+0.5*((INDEX(Routes!$M$6:$M$9,$C160)*INDEX(Routes!$Y$6:$Y$9,$C160)*F160)-5)))))</f>
        <v>0</v>
      </c>
    </row>
    <row r="161" customFormat="false" ht="15" hidden="false" customHeight="false" outlineLevel="0" collapsed="false">
      <c r="A161" s="2" t="s">
        <v>657</v>
      </c>
      <c r="B161" s="2" t="s">
        <v>630</v>
      </c>
      <c r="C161" s="16" t="n">
        <f aca="false">Sw_Route</f>
        <v>1</v>
      </c>
      <c r="D161" s="70" t="n">
        <v>120</v>
      </c>
      <c r="E161" s="92" t="n">
        <v>1.1</v>
      </c>
      <c r="F161" s="88" t="n">
        <f aca="false">PortMult</f>
        <v>1</v>
      </c>
      <c r="G161" s="89" t="n">
        <f aca="false">UtilFH</f>
        <v>0.85</v>
      </c>
      <c r="H161" s="89" t="n">
        <f aca="false">UtilBH</f>
        <v>0.5</v>
      </c>
      <c r="I161" s="90" t="n">
        <f aca="false">Speed</f>
        <v>13.5</v>
      </c>
      <c r="J161" s="88" t="n">
        <f aca="false">PortCostMult</f>
        <v>1</v>
      </c>
      <c r="K161" s="90" t="n">
        <f aca="false">EUA</f>
        <v>75</v>
      </c>
      <c r="L161" s="71" t="n">
        <f aca="false">INDEX(Routes!$E$6:$E$9,$C161)</f>
        <v>5000</v>
      </c>
      <c r="M161" s="72" t="n">
        <f aca="false">INDEX(Routes!$F$6:$F$9,$C161)/L161</f>
        <v>0.13</v>
      </c>
      <c r="N161" s="77" t="n">
        <f aca="false">2*L161*(1+SeaMargin)/(I161*24)</f>
        <v>32.4074074074074</v>
      </c>
      <c r="O161" s="84" t="n">
        <f aca="false">(I161/RefSpeed)^SpeedExp</f>
        <v>1</v>
      </c>
      <c r="P161" s="2" t="n">
        <f aca="false">IF(H161&gt;0,1,0)</f>
        <v>1</v>
      </c>
      <c r="Q161" s="71" t="n">
        <f aca="false">N161/2*O161*(ConsLaden+IF(P161=1,ConsLaden,ConsBallast))</f>
        <v>875</v>
      </c>
      <c r="R161" s="71" t="n">
        <f aca="false">Q161*(1-M161)</f>
        <v>761.25</v>
      </c>
      <c r="S161" s="71" t="n">
        <f aca="false">Q161*M161</f>
        <v>113.75</v>
      </c>
      <c r="T161" s="2" t="n">
        <f aca="false">1+P161</f>
        <v>2</v>
      </c>
      <c r="U161" s="77" t="n">
        <f aca="false">INDEX(Routes!$L$6:$L$9,$C161)*T161*F161</f>
        <v>10</v>
      </c>
      <c r="V161" s="77" t="n">
        <f aca="false">INDEX(Routes!$M$6:$M$9,$C161)*T161*F161</f>
        <v>7</v>
      </c>
      <c r="W161" s="77" t="n">
        <f aca="false">INDEX(Routes!$H$6:$H$9,$C161)*2</f>
        <v>0</v>
      </c>
      <c r="X161" s="71" t="n">
        <f aca="false">(U161+V161+W161)*ConsPort</f>
        <v>102</v>
      </c>
      <c r="Y161" s="67" t="n">
        <f aca="false">R161*D161*VLSFO_Mult+(S161+X161)*D161*MGO_Mult</f>
        <v>954528</v>
      </c>
      <c r="Z161" s="67" t="n">
        <f aca="false">(INDEX(Routes!$N$6:$N$9,$C161)+AN161+MIN(AC161*INDEX(Routes!$T$6:$T$9,$C161),INDEX(Routes!$V$6:$V$9,$C161))+INDEX(Routes!$O$6:$O$9,$C161)+AO161+MIN(AC161*INDEX(Routes!$U$6:$U$9,$C161),INDEX(Routes!$W$6:$W$9,$C161))+IF(P161=1,INDEX(Routes!$N$6:$N$9,$C161)+AN161+MIN(AD161*INDEX(Routes!$T$6:$T$9,$C161),INDEX(Routes!$V$6:$V$9,$C161))+INDEX(Routes!$O$6:$O$9,$C161)+AO161+MIN(AD161*INDEX(Routes!$U$6:$U$9,$C161),INDEX(Routes!$W$6:$W$9,$C161)),0))*J161</f>
        <v>252304.2096</v>
      </c>
      <c r="AA161" s="67" t="n">
        <f aca="false">INDEX(Routes!$R$6:$R$9,$C161)+IF(P161=1,INDEX(Routes!$R$6:$R$9,$C161),INDEX(Routes!$S$6:$S$9,$C161))</f>
        <v>0</v>
      </c>
      <c r="AB161" s="67" t="n">
        <f aca="false">((R161*CO2_VLSFO+S161*CO2_MGO)*INDEX(Routes!$I$6:$I$9,$C161)+(U161*INDEX(Routes!$P$6:$P$9,$C161)+V161*INDEX(Routes!$Q$6:$Q$9,$C161))*ConsPort*CO2_MGO)*PhaseIn*K161*FX</f>
        <v>123936.40875</v>
      </c>
      <c r="AC161" s="71" t="n">
        <f aca="false">Capacity*G161</f>
        <v>30600</v>
      </c>
      <c r="AD161" s="71" t="n">
        <f aca="false">Capacity*H161</f>
        <v>18000</v>
      </c>
      <c r="AE161" s="82" t="n">
        <f aca="false">INDEX(Routes!$J$6:$J$9,$C161)*E161</f>
        <v>57.2</v>
      </c>
      <c r="AF161" s="82" t="n">
        <f aca="false">INDEX(Routes!$K$6:$K$9,$C161)*E161</f>
        <v>41.8</v>
      </c>
      <c r="AG161" s="67" t="n">
        <f aca="false">AC161*AE161+AD161*AF161</f>
        <v>2502720</v>
      </c>
      <c r="AH161" s="67" t="n">
        <f aca="false">AG161*Commission</f>
        <v>62568</v>
      </c>
      <c r="AI161" s="67" t="n">
        <f aca="false">Y161+Z161+AA161+AB161+MiscVoy</f>
        <v>1355768.61835</v>
      </c>
      <c r="AJ161" s="77" t="n">
        <f aca="false">N161+U161+V161+W161</f>
        <v>49.4074074074074</v>
      </c>
      <c r="AK161" s="94" t="n">
        <f aca="false">(AG161-AH161-AI161)/AJ161</f>
        <v>21947.7895836207</v>
      </c>
      <c r="AL161" s="67" t="n">
        <f aca="false">AG161-AH161-AI161-Benchmark*AJ161</f>
        <v>195050.048316667</v>
      </c>
      <c r="AM161" s="82" t="n">
        <f aca="false">IF(AC161&gt;0,((Benchmark*AJ161+AI161)/(1-Commission)-AD161*AF161)/AC161,0)</f>
        <v>50.6623747840903</v>
      </c>
      <c r="AN161" s="67" t="n">
        <f aca="false">LOA_ft*Port_Tariffs!$C$9*IF((INDEX(Routes!$L$6:$L$9,$C161)*INDEX(Routes!$X$6:$X$9,$C161)*F161)&lt;=2,(INDEX(Routes!$L$6:$L$9,$C161)*INDEX(Routes!$X$6:$X$9,$C161)*F161),IF((INDEX(Routes!$L$6:$L$9,$C161)*INDEX(Routes!$X$6:$X$9,$C161)*F161)&lt;=3,2+0.9*((INDEX(Routes!$L$6:$L$9,$C161)*INDEX(Routes!$X$6:$X$9,$C161)*F161)-2),IF((INDEX(Routes!$L$6:$L$9,$C161)*INDEX(Routes!$X$6:$X$9,$C161)*F161)&lt;=4,2.9+0.75*((INDEX(Routes!$L$6:$L$9,$C161)*INDEX(Routes!$X$6:$X$9,$C161)*F161)-3),IF((INDEX(Routes!$L$6:$L$9,$C161)*INDEX(Routes!$X$6:$X$9,$C161)*F161)&lt;=5,3.65+0.6*((INDEX(Routes!$L$6:$L$9,$C161)*INDEX(Routes!$X$6:$X$9,$C161)*F161)-4),4.25+0.5*((INDEX(Routes!$L$6:$L$9,$C161)*INDEX(Routes!$X$6:$X$9,$C161)*F161)-5)))))</f>
        <v>19557.6</v>
      </c>
      <c r="AO161" s="67" t="n">
        <f aca="false">LOA_ft*Port_Tariffs!$C$9*IF((INDEX(Routes!$M$6:$M$9,$C161)*INDEX(Routes!$Y$6:$Y$9,$C161)*F161)&lt;=2,(INDEX(Routes!$M$6:$M$9,$C161)*INDEX(Routes!$Y$6:$Y$9,$C161)*F161),IF((INDEX(Routes!$M$6:$M$9,$C161)*INDEX(Routes!$Y$6:$Y$9,$C161)*F161)&lt;=3,2+0.9*((INDEX(Routes!$M$6:$M$9,$C161)*INDEX(Routes!$Y$6:$Y$9,$C161)*F161)-2),IF((INDEX(Routes!$M$6:$M$9,$C161)*INDEX(Routes!$Y$6:$Y$9,$C161)*F161)&lt;=4,2.9+0.75*((INDEX(Routes!$M$6:$M$9,$C161)*INDEX(Routes!$Y$6:$Y$9,$C161)*F161)-3),IF((INDEX(Routes!$M$6:$M$9,$C161)*INDEX(Routes!$Y$6:$Y$9,$C161)*F161)&lt;=5,3.65+0.6*((INDEX(Routes!$M$6:$M$9,$C161)*INDEX(Routes!$Y$6:$Y$9,$C161)*F161)-4),4.25+0.5*((INDEX(Routes!$M$6:$M$9,$C161)*INDEX(Routes!$Y$6:$Y$9,$C161)*F161)-5)))))</f>
        <v>0</v>
      </c>
    </row>
    <row r="162" customFormat="false" ht="15" hidden="false" customHeight="false" outlineLevel="0" collapsed="false">
      <c r="A162" s="2" t="s">
        <v>658</v>
      </c>
      <c r="B162" s="2" t="s">
        <v>630</v>
      </c>
      <c r="C162" s="16" t="n">
        <f aca="false">Sw_Route</f>
        <v>1</v>
      </c>
      <c r="D162" s="70" t="n">
        <v>60</v>
      </c>
      <c r="E162" s="92" t="n">
        <v>1.2</v>
      </c>
      <c r="F162" s="88" t="n">
        <f aca="false">PortMult</f>
        <v>1</v>
      </c>
      <c r="G162" s="89" t="n">
        <f aca="false">UtilFH</f>
        <v>0.85</v>
      </c>
      <c r="H162" s="89" t="n">
        <f aca="false">UtilBH</f>
        <v>0.5</v>
      </c>
      <c r="I162" s="90" t="n">
        <f aca="false">Speed</f>
        <v>13.5</v>
      </c>
      <c r="J162" s="88" t="n">
        <f aca="false">PortCostMult</f>
        <v>1</v>
      </c>
      <c r="K162" s="90" t="n">
        <f aca="false">EUA</f>
        <v>75</v>
      </c>
      <c r="L162" s="71" t="n">
        <f aca="false">INDEX(Routes!$E$6:$E$9,$C162)</f>
        <v>5000</v>
      </c>
      <c r="M162" s="72" t="n">
        <f aca="false">INDEX(Routes!$F$6:$F$9,$C162)/L162</f>
        <v>0.13</v>
      </c>
      <c r="N162" s="77" t="n">
        <f aca="false">2*L162*(1+SeaMargin)/(I162*24)</f>
        <v>32.4074074074074</v>
      </c>
      <c r="O162" s="84" t="n">
        <f aca="false">(I162/RefSpeed)^SpeedExp</f>
        <v>1</v>
      </c>
      <c r="P162" s="2" t="n">
        <f aca="false">IF(H162&gt;0,1,0)</f>
        <v>1</v>
      </c>
      <c r="Q162" s="71" t="n">
        <f aca="false">N162/2*O162*(ConsLaden+IF(P162=1,ConsLaden,ConsBallast))</f>
        <v>875</v>
      </c>
      <c r="R162" s="71" t="n">
        <f aca="false">Q162*(1-M162)</f>
        <v>761.25</v>
      </c>
      <c r="S162" s="71" t="n">
        <f aca="false">Q162*M162</f>
        <v>113.75</v>
      </c>
      <c r="T162" s="2" t="n">
        <f aca="false">1+P162</f>
        <v>2</v>
      </c>
      <c r="U162" s="77" t="n">
        <f aca="false">INDEX(Routes!$L$6:$L$9,$C162)*T162*F162</f>
        <v>10</v>
      </c>
      <c r="V162" s="77" t="n">
        <f aca="false">INDEX(Routes!$M$6:$M$9,$C162)*T162*F162</f>
        <v>7</v>
      </c>
      <c r="W162" s="77" t="n">
        <f aca="false">INDEX(Routes!$H$6:$H$9,$C162)*2</f>
        <v>0</v>
      </c>
      <c r="X162" s="71" t="n">
        <f aca="false">(U162+V162+W162)*ConsPort</f>
        <v>102</v>
      </c>
      <c r="Y162" s="67" t="n">
        <f aca="false">R162*D162*VLSFO_Mult+(S162+X162)*D162*MGO_Mult</f>
        <v>477264</v>
      </c>
      <c r="Z162" s="67" t="n">
        <f aca="false">(INDEX(Routes!$N$6:$N$9,$C162)+AN162+MIN(AC162*INDEX(Routes!$T$6:$T$9,$C162),INDEX(Routes!$V$6:$V$9,$C162))+INDEX(Routes!$O$6:$O$9,$C162)+AO162+MIN(AC162*INDEX(Routes!$U$6:$U$9,$C162),INDEX(Routes!$W$6:$W$9,$C162))+IF(P162=1,INDEX(Routes!$N$6:$N$9,$C162)+AN162+MIN(AD162*INDEX(Routes!$T$6:$T$9,$C162),INDEX(Routes!$V$6:$V$9,$C162))+INDEX(Routes!$O$6:$O$9,$C162)+AO162+MIN(AD162*INDEX(Routes!$U$6:$U$9,$C162),INDEX(Routes!$W$6:$W$9,$C162)),0))*J162</f>
        <v>252304.2096</v>
      </c>
      <c r="AA162" s="67" t="n">
        <f aca="false">INDEX(Routes!$R$6:$R$9,$C162)+IF(P162=1,INDEX(Routes!$R$6:$R$9,$C162),INDEX(Routes!$S$6:$S$9,$C162))</f>
        <v>0</v>
      </c>
      <c r="AB162" s="67" t="n">
        <f aca="false">((R162*CO2_VLSFO+S162*CO2_MGO)*INDEX(Routes!$I$6:$I$9,$C162)+(U162*INDEX(Routes!$P$6:$P$9,$C162)+V162*INDEX(Routes!$Q$6:$Q$9,$C162))*ConsPort*CO2_MGO)*PhaseIn*K162*FX</f>
        <v>123936.40875</v>
      </c>
      <c r="AC162" s="71" t="n">
        <f aca="false">Capacity*G162</f>
        <v>30600</v>
      </c>
      <c r="AD162" s="71" t="n">
        <f aca="false">Capacity*H162</f>
        <v>18000</v>
      </c>
      <c r="AE162" s="82" t="n">
        <f aca="false">INDEX(Routes!$J$6:$J$9,$C162)*E162</f>
        <v>62.4</v>
      </c>
      <c r="AF162" s="82" t="n">
        <f aca="false">INDEX(Routes!$K$6:$K$9,$C162)*E162</f>
        <v>45.6</v>
      </c>
      <c r="AG162" s="67" t="n">
        <f aca="false">AC162*AE162+AD162*AF162</f>
        <v>2730240</v>
      </c>
      <c r="AH162" s="67" t="n">
        <f aca="false">AG162*Commission</f>
        <v>68256</v>
      </c>
      <c r="AI162" s="67" t="n">
        <f aca="false">Y162+Z162+AA162+AB162+MiscVoy</f>
        <v>878504.61835</v>
      </c>
      <c r="AJ162" s="77" t="n">
        <f aca="false">N162+U162+V162+W162</f>
        <v>49.4074074074074</v>
      </c>
      <c r="AK162" s="94" t="n">
        <f aca="false">(AG162-AH162-AI162)/AJ162</f>
        <v>36097.4087740255</v>
      </c>
      <c r="AL162" s="67" t="n">
        <f aca="false">AG162-AH162-AI162-Benchmark*AJ162</f>
        <v>894146.048316667</v>
      </c>
      <c r="AM162" s="82" t="n">
        <f aca="false">IF(AC162&gt;0,((Benchmark*AJ162+AI162)/(1-Commission)-AD162*AF162)/AC162,0)</f>
        <v>32.4302983637786</v>
      </c>
      <c r="AN162" s="67" t="n">
        <f aca="false">LOA_ft*Port_Tariffs!$C$9*IF((INDEX(Routes!$L$6:$L$9,$C162)*INDEX(Routes!$X$6:$X$9,$C162)*F162)&lt;=2,(INDEX(Routes!$L$6:$L$9,$C162)*INDEX(Routes!$X$6:$X$9,$C162)*F162),IF((INDEX(Routes!$L$6:$L$9,$C162)*INDEX(Routes!$X$6:$X$9,$C162)*F162)&lt;=3,2+0.9*((INDEX(Routes!$L$6:$L$9,$C162)*INDEX(Routes!$X$6:$X$9,$C162)*F162)-2),IF((INDEX(Routes!$L$6:$L$9,$C162)*INDEX(Routes!$X$6:$X$9,$C162)*F162)&lt;=4,2.9+0.75*((INDEX(Routes!$L$6:$L$9,$C162)*INDEX(Routes!$X$6:$X$9,$C162)*F162)-3),IF((INDEX(Routes!$L$6:$L$9,$C162)*INDEX(Routes!$X$6:$X$9,$C162)*F162)&lt;=5,3.65+0.6*((INDEX(Routes!$L$6:$L$9,$C162)*INDEX(Routes!$X$6:$X$9,$C162)*F162)-4),4.25+0.5*((INDEX(Routes!$L$6:$L$9,$C162)*INDEX(Routes!$X$6:$X$9,$C162)*F162)-5)))))</f>
        <v>19557.6</v>
      </c>
      <c r="AO162" s="67" t="n">
        <f aca="false">LOA_ft*Port_Tariffs!$C$9*IF((INDEX(Routes!$M$6:$M$9,$C162)*INDEX(Routes!$Y$6:$Y$9,$C162)*F162)&lt;=2,(INDEX(Routes!$M$6:$M$9,$C162)*INDEX(Routes!$Y$6:$Y$9,$C162)*F162),IF((INDEX(Routes!$M$6:$M$9,$C162)*INDEX(Routes!$Y$6:$Y$9,$C162)*F162)&lt;=3,2+0.9*((INDEX(Routes!$M$6:$M$9,$C162)*INDEX(Routes!$Y$6:$Y$9,$C162)*F162)-2),IF((INDEX(Routes!$M$6:$M$9,$C162)*INDEX(Routes!$Y$6:$Y$9,$C162)*F162)&lt;=4,2.9+0.75*((INDEX(Routes!$M$6:$M$9,$C162)*INDEX(Routes!$Y$6:$Y$9,$C162)*F162)-3),IF((INDEX(Routes!$M$6:$M$9,$C162)*INDEX(Routes!$Y$6:$Y$9,$C162)*F162)&lt;=5,3.65+0.6*((INDEX(Routes!$M$6:$M$9,$C162)*INDEX(Routes!$Y$6:$Y$9,$C162)*F162)-4),4.25+0.5*((INDEX(Routes!$M$6:$M$9,$C162)*INDEX(Routes!$Y$6:$Y$9,$C162)*F162)-5)))))</f>
        <v>0</v>
      </c>
    </row>
    <row r="163" customFormat="false" ht="15" hidden="false" customHeight="false" outlineLevel="0" collapsed="false">
      <c r="A163" s="2" t="s">
        <v>659</v>
      </c>
      <c r="B163" s="2" t="s">
        <v>630</v>
      </c>
      <c r="C163" s="16" t="n">
        <f aca="false">Sw_Route</f>
        <v>1</v>
      </c>
      <c r="D163" s="70" t="n">
        <v>70</v>
      </c>
      <c r="E163" s="92" t="n">
        <v>1.2</v>
      </c>
      <c r="F163" s="88" t="n">
        <f aca="false">PortMult</f>
        <v>1</v>
      </c>
      <c r="G163" s="89" t="n">
        <f aca="false">UtilFH</f>
        <v>0.85</v>
      </c>
      <c r="H163" s="89" t="n">
        <f aca="false">UtilBH</f>
        <v>0.5</v>
      </c>
      <c r="I163" s="90" t="n">
        <f aca="false">Speed</f>
        <v>13.5</v>
      </c>
      <c r="J163" s="88" t="n">
        <f aca="false">PortCostMult</f>
        <v>1</v>
      </c>
      <c r="K163" s="90" t="n">
        <f aca="false">EUA</f>
        <v>75</v>
      </c>
      <c r="L163" s="71" t="n">
        <f aca="false">INDEX(Routes!$E$6:$E$9,$C163)</f>
        <v>5000</v>
      </c>
      <c r="M163" s="72" t="n">
        <f aca="false">INDEX(Routes!$F$6:$F$9,$C163)/L163</f>
        <v>0.13</v>
      </c>
      <c r="N163" s="77" t="n">
        <f aca="false">2*L163*(1+SeaMargin)/(I163*24)</f>
        <v>32.4074074074074</v>
      </c>
      <c r="O163" s="84" t="n">
        <f aca="false">(I163/RefSpeed)^SpeedExp</f>
        <v>1</v>
      </c>
      <c r="P163" s="2" t="n">
        <f aca="false">IF(H163&gt;0,1,0)</f>
        <v>1</v>
      </c>
      <c r="Q163" s="71" t="n">
        <f aca="false">N163/2*O163*(ConsLaden+IF(P163=1,ConsLaden,ConsBallast))</f>
        <v>875</v>
      </c>
      <c r="R163" s="71" t="n">
        <f aca="false">Q163*(1-M163)</f>
        <v>761.25</v>
      </c>
      <c r="S163" s="71" t="n">
        <f aca="false">Q163*M163</f>
        <v>113.75</v>
      </c>
      <c r="T163" s="2" t="n">
        <f aca="false">1+P163</f>
        <v>2</v>
      </c>
      <c r="U163" s="77" t="n">
        <f aca="false">INDEX(Routes!$L$6:$L$9,$C163)*T163*F163</f>
        <v>10</v>
      </c>
      <c r="V163" s="77" t="n">
        <f aca="false">INDEX(Routes!$M$6:$M$9,$C163)*T163*F163</f>
        <v>7</v>
      </c>
      <c r="W163" s="77" t="n">
        <f aca="false">INDEX(Routes!$H$6:$H$9,$C163)*2</f>
        <v>0</v>
      </c>
      <c r="X163" s="71" t="n">
        <f aca="false">(U163+V163+W163)*ConsPort</f>
        <v>102</v>
      </c>
      <c r="Y163" s="67" t="n">
        <f aca="false">R163*D163*VLSFO_Mult+(S163+X163)*D163*MGO_Mult</f>
        <v>556808</v>
      </c>
      <c r="Z163" s="67" t="n">
        <f aca="false">(INDEX(Routes!$N$6:$N$9,$C163)+AN163+MIN(AC163*INDEX(Routes!$T$6:$T$9,$C163),INDEX(Routes!$V$6:$V$9,$C163))+INDEX(Routes!$O$6:$O$9,$C163)+AO163+MIN(AC163*INDEX(Routes!$U$6:$U$9,$C163),INDEX(Routes!$W$6:$W$9,$C163))+IF(P163=1,INDEX(Routes!$N$6:$N$9,$C163)+AN163+MIN(AD163*INDEX(Routes!$T$6:$T$9,$C163),INDEX(Routes!$V$6:$V$9,$C163))+INDEX(Routes!$O$6:$O$9,$C163)+AO163+MIN(AD163*INDEX(Routes!$U$6:$U$9,$C163),INDEX(Routes!$W$6:$W$9,$C163)),0))*J163</f>
        <v>252304.2096</v>
      </c>
      <c r="AA163" s="67" t="n">
        <f aca="false">INDEX(Routes!$R$6:$R$9,$C163)+IF(P163=1,INDEX(Routes!$R$6:$R$9,$C163),INDEX(Routes!$S$6:$S$9,$C163))</f>
        <v>0</v>
      </c>
      <c r="AB163" s="67" t="n">
        <f aca="false">((R163*CO2_VLSFO+S163*CO2_MGO)*INDEX(Routes!$I$6:$I$9,$C163)+(U163*INDEX(Routes!$P$6:$P$9,$C163)+V163*INDEX(Routes!$Q$6:$Q$9,$C163))*ConsPort*CO2_MGO)*PhaseIn*K163*FX</f>
        <v>123936.40875</v>
      </c>
      <c r="AC163" s="71" t="n">
        <f aca="false">Capacity*G163</f>
        <v>30600</v>
      </c>
      <c r="AD163" s="71" t="n">
        <f aca="false">Capacity*H163</f>
        <v>18000</v>
      </c>
      <c r="AE163" s="82" t="n">
        <f aca="false">INDEX(Routes!$J$6:$J$9,$C163)*E163</f>
        <v>62.4</v>
      </c>
      <c r="AF163" s="82" t="n">
        <f aca="false">INDEX(Routes!$K$6:$K$9,$C163)*E163</f>
        <v>45.6</v>
      </c>
      <c r="AG163" s="67" t="n">
        <f aca="false">AC163*AE163+AD163*AF163</f>
        <v>2730240</v>
      </c>
      <c r="AH163" s="67" t="n">
        <f aca="false">AG163*Commission</f>
        <v>68256</v>
      </c>
      <c r="AI163" s="67" t="n">
        <f aca="false">Y163+Z163+AA163+AB163+MiscVoy</f>
        <v>958048.61835</v>
      </c>
      <c r="AJ163" s="77" t="n">
        <f aca="false">N163+U163+V163+W163</f>
        <v>49.4074074074074</v>
      </c>
      <c r="AK163" s="94" t="n">
        <f aca="false">(AG163-AH163-AI163)/AJ163</f>
        <v>34487.4477545352</v>
      </c>
      <c r="AL163" s="67" t="n">
        <f aca="false">AG163-AH163-AI163-Benchmark*AJ163</f>
        <v>814602.048316667</v>
      </c>
      <c r="AM163" s="82" t="n">
        <f aca="false">IF(AC163&gt;0,((Benchmark*AJ163+AI163)/(1-Commission)-AD163*AF163)/AC163,0)</f>
        <v>35.096428747556</v>
      </c>
      <c r="AN163" s="67" t="n">
        <f aca="false">LOA_ft*Port_Tariffs!$C$9*IF((INDEX(Routes!$L$6:$L$9,$C163)*INDEX(Routes!$X$6:$X$9,$C163)*F163)&lt;=2,(INDEX(Routes!$L$6:$L$9,$C163)*INDEX(Routes!$X$6:$X$9,$C163)*F163),IF((INDEX(Routes!$L$6:$L$9,$C163)*INDEX(Routes!$X$6:$X$9,$C163)*F163)&lt;=3,2+0.9*((INDEX(Routes!$L$6:$L$9,$C163)*INDEX(Routes!$X$6:$X$9,$C163)*F163)-2),IF((INDEX(Routes!$L$6:$L$9,$C163)*INDEX(Routes!$X$6:$X$9,$C163)*F163)&lt;=4,2.9+0.75*((INDEX(Routes!$L$6:$L$9,$C163)*INDEX(Routes!$X$6:$X$9,$C163)*F163)-3),IF((INDEX(Routes!$L$6:$L$9,$C163)*INDEX(Routes!$X$6:$X$9,$C163)*F163)&lt;=5,3.65+0.6*((INDEX(Routes!$L$6:$L$9,$C163)*INDEX(Routes!$X$6:$X$9,$C163)*F163)-4),4.25+0.5*((INDEX(Routes!$L$6:$L$9,$C163)*INDEX(Routes!$X$6:$X$9,$C163)*F163)-5)))))</f>
        <v>19557.6</v>
      </c>
      <c r="AO163" s="67" t="n">
        <f aca="false">LOA_ft*Port_Tariffs!$C$9*IF((INDEX(Routes!$M$6:$M$9,$C163)*INDEX(Routes!$Y$6:$Y$9,$C163)*F163)&lt;=2,(INDEX(Routes!$M$6:$M$9,$C163)*INDEX(Routes!$Y$6:$Y$9,$C163)*F163),IF((INDEX(Routes!$M$6:$M$9,$C163)*INDEX(Routes!$Y$6:$Y$9,$C163)*F163)&lt;=3,2+0.9*((INDEX(Routes!$M$6:$M$9,$C163)*INDEX(Routes!$Y$6:$Y$9,$C163)*F163)-2),IF((INDEX(Routes!$M$6:$M$9,$C163)*INDEX(Routes!$Y$6:$Y$9,$C163)*F163)&lt;=4,2.9+0.75*((INDEX(Routes!$M$6:$M$9,$C163)*INDEX(Routes!$Y$6:$Y$9,$C163)*F163)-3),IF((INDEX(Routes!$M$6:$M$9,$C163)*INDEX(Routes!$Y$6:$Y$9,$C163)*F163)&lt;=5,3.65+0.6*((INDEX(Routes!$M$6:$M$9,$C163)*INDEX(Routes!$Y$6:$Y$9,$C163)*F163)-4),4.25+0.5*((INDEX(Routes!$M$6:$M$9,$C163)*INDEX(Routes!$Y$6:$Y$9,$C163)*F163)-5)))))</f>
        <v>0</v>
      </c>
    </row>
    <row r="164" customFormat="false" ht="15" hidden="false" customHeight="false" outlineLevel="0" collapsed="false">
      <c r="A164" s="2" t="s">
        <v>660</v>
      </c>
      <c r="B164" s="2" t="s">
        <v>630</v>
      </c>
      <c r="C164" s="16" t="n">
        <f aca="false">Sw_Route</f>
        <v>1</v>
      </c>
      <c r="D164" s="70" t="n">
        <v>80</v>
      </c>
      <c r="E164" s="92" t="n">
        <v>1.2</v>
      </c>
      <c r="F164" s="88" t="n">
        <f aca="false">PortMult</f>
        <v>1</v>
      </c>
      <c r="G164" s="89" t="n">
        <f aca="false">UtilFH</f>
        <v>0.85</v>
      </c>
      <c r="H164" s="89" t="n">
        <f aca="false">UtilBH</f>
        <v>0.5</v>
      </c>
      <c r="I164" s="90" t="n">
        <f aca="false">Speed</f>
        <v>13.5</v>
      </c>
      <c r="J164" s="88" t="n">
        <f aca="false">PortCostMult</f>
        <v>1</v>
      </c>
      <c r="K164" s="90" t="n">
        <f aca="false">EUA</f>
        <v>75</v>
      </c>
      <c r="L164" s="71" t="n">
        <f aca="false">INDEX(Routes!$E$6:$E$9,$C164)</f>
        <v>5000</v>
      </c>
      <c r="M164" s="72" t="n">
        <f aca="false">INDEX(Routes!$F$6:$F$9,$C164)/L164</f>
        <v>0.13</v>
      </c>
      <c r="N164" s="77" t="n">
        <f aca="false">2*L164*(1+SeaMargin)/(I164*24)</f>
        <v>32.4074074074074</v>
      </c>
      <c r="O164" s="84" t="n">
        <f aca="false">(I164/RefSpeed)^SpeedExp</f>
        <v>1</v>
      </c>
      <c r="P164" s="2" t="n">
        <f aca="false">IF(H164&gt;0,1,0)</f>
        <v>1</v>
      </c>
      <c r="Q164" s="71" t="n">
        <f aca="false">N164/2*O164*(ConsLaden+IF(P164=1,ConsLaden,ConsBallast))</f>
        <v>875</v>
      </c>
      <c r="R164" s="71" t="n">
        <f aca="false">Q164*(1-M164)</f>
        <v>761.25</v>
      </c>
      <c r="S164" s="71" t="n">
        <f aca="false">Q164*M164</f>
        <v>113.75</v>
      </c>
      <c r="T164" s="2" t="n">
        <f aca="false">1+P164</f>
        <v>2</v>
      </c>
      <c r="U164" s="77" t="n">
        <f aca="false">INDEX(Routes!$L$6:$L$9,$C164)*T164*F164</f>
        <v>10</v>
      </c>
      <c r="V164" s="77" t="n">
        <f aca="false">INDEX(Routes!$M$6:$M$9,$C164)*T164*F164</f>
        <v>7</v>
      </c>
      <c r="W164" s="77" t="n">
        <f aca="false">INDEX(Routes!$H$6:$H$9,$C164)*2</f>
        <v>0</v>
      </c>
      <c r="X164" s="71" t="n">
        <f aca="false">(U164+V164+W164)*ConsPort</f>
        <v>102</v>
      </c>
      <c r="Y164" s="67" t="n">
        <f aca="false">R164*D164*VLSFO_Mult+(S164+X164)*D164*MGO_Mult</f>
        <v>636352</v>
      </c>
      <c r="Z164" s="67" t="n">
        <f aca="false">(INDEX(Routes!$N$6:$N$9,$C164)+AN164+MIN(AC164*INDEX(Routes!$T$6:$T$9,$C164),INDEX(Routes!$V$6:$V$9,$C164))+INDEX(Routes!$O$6:$O$9,$C164)+AO164+MIN(AC164*INDEX(Routes!$U$6:$U$9,$C164),INDEX(Routes!$W$6:$W$9,$C164))+IF(P164=1,INDEX(Routes!$N$6:$N$9,$C164)+AN164+MIN(AD164*INDEX(Routes!$T$6:$T$9,$C164),INDEX(Routes!$V$6:$V$9,$C164))+INDEX(Routes!$O$6:$O$9,$C164)+AO164+MIN(AD164*INDEX(Routes!$U$6:$U$9,$C164),INDEX(Routes!$W$6:$W$9,$C164)),0))*J164</f>
        <v>252304.2096</v>
      </c>
      <c r="AA164" s="67" t="n">
        <f aca="false">INDEX(Routes!$R$6:$R$9,$C164)+IF(P164=1,INDEX(Routes!$R$6:$R$9,$C164),INDEX(Routes!$S$6:$S$9,$C164))</f>
        <v>0</v>
      </c>
      <c r="AB164" s="67" t="n">
        <f aca="false">((R164*CO2_VLSFO+S164*CO2_MGO)*INDEX(Routes!$I$6:$I$9,$C164)+(U164*INDEX(Routes!$P$6:$P$9,$C164)+V164*INDEX(Routes!$Q$6:$Q$9,$C164))*ConsPort*CO2_MGO)*PhaseIn*K164*FX</f>
        <v>123936.40875</v>
      </c>
      <c r="AC164" s="71" t="n">
        <f aca="false">Capacity*G164</f>
        <v>30600</v>
      </c>
      <c r="AD164" s="71" t="n">
        <f aca="false">Capacity*H164</f>
        <v>18000</v>
      </c>
      <c r="AE164" s="82" t="n">
        <f aca="false">INDEX(Routes!$J$6:$J$9,$C164)*E164</f>
        <v>62.4</v>
      </c>
      <c r="AF164" s="82" t="n">
        <f aca="false">INDEX(Routes!$K$6:$K$9,$C164)*E164</f>
        <v>45.6</v>
      </c>
      <c r="AG164" s="67" t="n">
        <f aca="false">AC164*AE164+AD164*AF164</f>
        <v>2730240</v>
      </c>
      <c r="AH164" s="67" t="n">
        <f aca="false">AG164*Commission</f>
        <v>68256</v>
      </c>
      <c r="AI164" s="67" t="n">
        <f aca="false">Y164+Z164+AA164+AB164+MiscVoy</f>
        <v>1037592.61835</v>
      </c>
      <c r="AJ164" s="77" t="n">
        <f aca="false">N164+U164+V164+W164</f>
        <v>49.4074074074074</v>
      </c>
      <c r="AK164" s="94" t="n">
        <f aca="false">(AG164-AH164-AI164)/AJ164</f>
        <v>32877.486735045</v>
      </c>
      <c r="AL164" s="67" t="n">
        <f aca="false">AG164-AH164-AI164-Benchmark*AJ164</f>
        <v>735058.048316667</v>
      </c>
      <c r="AM164" s="82" t="n">
        <f aca="false">IF(AC164&gt;0,((Benchmark*AJ164+AI164)/(1-Commission)-AD164*AF164)/AC164,0)</f>
        <v>37.7625591313334</v>
      </c>
      <c r="AN164" s="67" t="n">
        <f aca="false">LOA_ft*Port_Tariffs!$C$9*IF((INDEX(Routes!$L$6:$L$9,$C164)*INDEX(Routes!$X$6:$X$9,$C164)*F164)&lt;=2,(INDEX(Routes!$L$6:$L$9,$C164)*INDEX(Routes!$X$6:$X$9,$C164)*F164),IF((INDEX(Routes!$L$6:$L$9,$C164)*INDEX(Routes!$X$6:$X$9,$C164)*F164)&lt;=3,2+0.9*((INDEX(Routes!$L$6:$L$9,$C164)*INDEX(Routes!$X$6:$X$9,$C164)*F164)-2),IF((INDEX(Routes!$L$6:$L$9,$C164)*INDEX(Routes!$X$6:$X$9,$C164)*F164)&lt;=4,2.9+0.75*((INDEX(Routes!$L$6:$L$9,$C164)*INDEX(Routes!$X$6:$X$9,$C164)*F164)-3),IF((INDEX(Routes!$L$6:$L$9,$C164)*INDEX(Routes!$X$6:$X$9,$C164)*F164)&lt;=5,3.65+0.6*((INDEX(Routes!$L$6:$L$9,$C164)*INDEX(Routes!$X$6:$X$9,$C164)*F164)-4),4.25+0.5*((INDEX(Routes!$L$6:$L$9,$C164)*INDEX(Routes!$X$6:$X$9,$C164)*F164)-5)))))</f>
        <v>19557.6</v>
      </c>
      <c r="AO164" s="67" t="n">
        <f aca="false">LOA_ft*Port_Tariffs!$C$9*IF((INDEX(Routes!$M$6:$M$9,$C164)*INDEX(Routes!$Y$6:$Y$9,$C164)*F164)&lt;=2,(INDEX(Routes!$M$6:$M$9,$C164)*INDEX(Routes!$Y$6:$Y$9,$C164)*F164),IF((INDEX(Routes!$M$6:$M$9,$C164)*INDEX(Routes!$Y$6:$Y$9,$C164)*F164)&lt;=3,2+0.9*((INDEX(Routes!$M$6:$M$9,$C164)*INDEX(Routes!$Y$6:$Y$9,$C164)*F164)-2),IF((INDEX(Routes!$M$6:$M$9,$C164)*INDEX(Routes!$Y$6:$Y$9,$C164)*F164)&lt;=4,2.9+0.75*((INDEX(Routes!$M$6:$M$9,$C164)*INDEX(Routes!$Y$6:$Y$9,$C164)*F164)-3),IF((INDEX(Routes!$M$6:$M$9,$C164)*INDEX(Routes!$Y$6:$Y$9,$C164)*F164)&lt;=5,3.65+0.6*((INDEX(Routes!$M$6:$M$9,$C164)*INDEX(Routes!$Y$6:$Y$9,$C164)*F164)-4),4.25+0.5*((INDEX(Routes!$M$6:$M$9,$C164)*INDEX(Routes!$Y$6:$Y$9,$C164)*F164)-5)))))</f>
        <v>0</v>
      </c>
    </row>
    <row r="165" customFormat="false" ht="15" hidden="false" customHeight="false" outlineLevel="0" collapsed="false">
      <c r="A165" s="2" t="s">
        <v>661</v>
      </c>
      <c r="B165" s="2" t="s">
        <v>630</v>
      </c>
      <c r="C165" s="16" t="n">
        <f aca="false">Sw_Route</f>
        <v>1</v>
      </c>
      <c r="D165" s="70" t="n">
        <v>90</v>
      </c>
      <c r="E165" s="92" t="n">
        <v>1.2</v>
      </c>
      <c r="F165" s="88" t="n">
        <f aca="false">PortMult</f>
        <v>1</v>
      </c>
      <c r="G165" s="89" t="n">
        <f aca="false">UtilFH</f>
        <v>0.85</v>
      </c>
      <c r="H165" s="89" t="n">
        <f aca="false">UtilBH</f>
        <v>0.5</v>
      </c>
      <c r="I165" s="90" t="n">
        <f aca="false">Speed</f>
        <v>13.5</v>
      </c>
      <c r="J165" s="88" t="n">
        <f aca="false">PortCostMult</f>
        <v>1</v>
      </c>
      <c r="K165" s="90" t="n">
        <f aca="false">EUA</f>
        <v>75</v>
      </c>
      <c r="L165" s="71" t="n">
        <f aca="false">INDEX(Routes!$E$6:$E$9,$C165)</f>
        <v>5000</v>
      </c>
      <c r="M165" s="72" t="n">
        <f aca="false">INDEX(Routes!$F$6:$F$9,$C165)/L165</f>
        <v>0.13</v>
      </c>
      <c r="N165" s="77" t="n">
        <f aca="false">2*L165*(1+SeaMargin)/(I165*24)</f>
        <v>32.4074074074074</v>
      </c>
      <c r="O165" s="84" t="n">
        <f aca="false">(I165/RefSpeed)^SpeedExp</f>
        <v>1</v>
      </c>
      <c r="P165" s="2" t="n">
        <f aca="false">IF(H165&gt;0,1,0)</f>
        <v>1</v>
      </c>
      <c r="Q165" s="71" t="n">
        <f aca="false">N165/2*O165*(ConsLaden+IF(P165=1,ConsLaden,ConsBallast))</f>
        <v>875</v>
      </c>
      <c r="R165" s="71" t="n">
        <f aca="false">Q165*(1-M165)</f>
        <v>761.25</v>
      </c>
      <c r="S165" s="71" t="n">
        <f aca="false">Q165*M165</f>
        <v>113.75</v>
      </c>
      <c r="T165" s="2" t="n">
        <f aca="false">1+P165</f>
        <v>2</v>
      </c>
      <c r="U165" s="77" t="n">
        <f aca="false">INDEX(Routes!$L$6:$L$9,$C165)*T165*F165</f>
        <v>10</v>
      </c>
      <c r="V165" s="77" t="n">
        <f aca="false">INDEX(Routes!$M$6:$M$9,$C165)*T165*F165</f>
        <v>7</v>
      </c>
      <c r="W165" s="77" t="n">
        <f aca="false">INDEX(Routes!$H$6:$H$9,$C165)*2</f>
        <v>0</v>
      </c>
      <c r="X165" s="71" t="n">
        <f aca="false">(U165+V165+W165)*ConsPort</f>
        <v>102</v>
      </c>
      <c r="Y165" s="67" t="n">
        <f aca="false">R165*D165*VLSFO_Mult+(S165+X165)*D165*MGO_Mult</f>
        <v>715896</v>
      </c>
      <c r="Z165" s="67" t="n">
        <f aca="false">(INDEX(Routes!$N$6:$N$9,$C165)+AN165+MIN(AC165*INDEX(Routes!$T$6:$T$9,$C165),INDEX(Routes!$V$6:$V$9,$C165))+INDEX(Routes!$O$6:$O$9,$C165)+AO165+MIN(AC165*INDEX(Routes!$U$6:$U$9,$C165),INDEX(Routes!$W$6:$W$9,$C165))+IF(P165=1,INDEX(Routes!$N$6:$N$9,$C165)+AN165+MIN(AD165*INDEX(Routes!$T$6:$T$9,$C165),INDEX(Routes!$V$6:$V$9,$C165))+INDEX(Routes!$O$6:$O$9,$C165)+AO165+MIN(AD165*INDEX(Routes!$U$6:$U$9,$C165),INDEX(Routes!$W$6:$W$9,$C165)),0))*J165</f>
        <v>252304.2096</v>
      </c>
      <c r="AA165" s="67" t="n">
        <f aca="false">INDEX(Routes!$R$6:$R$9,$C165)+IF(P165=1,INDEX(Routes!$R$6:$R$9,$C165),INDEX(Routes!$S$6:$S$9,$C165))</f>
        <v>0</v>
      </c>
      <c r="AB165" s="67" t="n">
        <f aca="false">((R165*CO2_VLSFO+S165*CO2_MGO)*INDEX(Routes!$I$6:$I$9,$C165)+(U165*INDEX(Routes!$P$6:$P$9,$C165)+V165*INDEX(Routes!$Q$6:$Q$9,$C165))*ConsPort*CO2_MGO)*PhaseIn*K165*FX</f>
        <v>123936.40875</v>
      </c>
      <c r="AC165" s="71" t="n">
        <f aca="false">Capacity*G165</f>
        <v>30600</v>
      </c>
      <c r="AD165" s="71" t="n">
        <f aca="false">Capacity*H165</f>
        <v>18000</v>
      </c>
      <c r="AE165" s="82" t="n">
        <f aca="false">INDEX(Routes!$J$6:$J$9,$C165)*E165</f>
        <v>62.4</v>
      </c>
      <c r="AF165" s="82" t="n">
        <f aca="false">INDEX(Routes!$K$6:$K$9,$C165)*E165</f>
        <v>45.6</v>
      </c>
      <c r="AG165" s="67" t="n">
        <f aca="false">AC165*AE165+AD165*AF165</f>
        <v>2730240</v>
      </c>
      <c r="AH165" s="67" t="n">
        <f aca="false">AG165*Commission</f>
        <v>68256</v>
      </c>
      <c r="AI165" s="67" t="n">
        <f aca="false">Y165+Z165+AA165+AB165+MiscVoy</f>
        <v>1117136.61835</v>
      </c>
      <c r="AJ165" s="77" t="n">
        <f aca="false">N165+U165+V165+W165</f>
        <v>49.4074074074074</v>
      </c>
      <c r="AK165" s="94" t="n">
        <f aca="false">(AG165-AH165-AI165)/AJ165</f>
        <v>31267.5257155547</v>
      </c>
      <c r="AL165" s="67" t="n">
        <f aca="false">AG165-AH165-AI165-Benchmark*AJ165</f>
        <v>655514.048316667</v>
      </c>
      <c r="AM165" s="82" t="n">
        <f aca="false">IF(AC165&gt;0,((Benchmark*AJ165+AI165)/(1-Commission)-AD165*AF165)/AC165,0)</f>
        <v>40.4286895151109</v>
      </c>
      <c r="AN165" s="67" t="n">
        <f aca="false">LOA_ft*Port_Tariffs!$C$9*IF((INDEX(Routes!$L$6:$L$9,$C165)*INDEX(Routes!$X$6:$X$9,$C165)*F165)&lt;=2,(INDEX(Routes!$L$6:$L$9,$C165)*INDEX(Routes!$X$6:$X$9,$C165)*F165),IF((INDEX(Routes!$L$6:$L$9,$C165)*INDEX(Routes!$X$6:$X$9,$C165)*F165)&lt;=3,2+0.9*((INDEX(Routes!$L$6:$L$9,$C165)*INDEX(Routes!$X$6:$X$9,$C165)*F165)-2),IF((INDEX(Routes!$L$6:$L$9,$C165)*INDEX(Routes!$X$6:$X$9,$C165)*F165)&lt;=4,2.9+0.75*((INDEX(Routes!$L$6:$L$9,$C165)*INDEX(Routes!$X$6:$X$9,$C165)*F165)-3),IF((INDEX(Routes!$L$6:$L$9,$C165)*INDEX(Routes!$X$6:$X$9,$C165)*F165)&lt;=5,3.65+0.6*((INDEX(Routes!$L$6:$L$9,$C165)*INDEX(Routes!$X$6:$X$9,$C165)*F165)-4),4.25+0.5*((INDEX(Routes!$L$6:$L$9,$C165)*INDEX(Routes!$X$6:$X$9,$C165)*F165)-5)))))</f>
        <v>19557.6</v>
      </c>
      <c r="AO165" s="67" t="n">
        <f aca="false">LOA_ft*Port_Tariffs!$C$9*IF((INDEX(Routes!$M$6:$M$9,$C165)*INDEX(Routes!$Y$6:$Y$9,$C165)*F165)&lt;=2,(INDEX(Routes!$M$6:$M$9,$C165)*INDEX(Routes!$Y$6:$Y$9,$C165)*F165),IF((INDEX(Routes!$M$6:$M$9,$C165)*INDEX(Routes!$Y$6:$Y$9,$C165)*F165)&lt;=3,2+0.9*((INDEX(Routes!$M$6:$M$9,$C165)*INDEX(Routes!$Y$6:$Y$9,$C165)*F165)-2),IF((INDEX(Routes!$M$6:$M$9,$C165)*INDEX(Routes!$Y$6:$Y$9,$C165)*F165)&lt;=4,2.9+0.75*((INDEX(Routes!$M$6:$M$9,$C165)*INDEX(Routes!$Y$6:$Y$9,$C165)*F165)-3),IF((INDEX(Routes!$M$6:$M$9,$C165)*INDEX(Routes!$Y$6:$Y$9,$C165)*F165)&lt;=5,3.65+0.6*((INDEX(Routes!$M$6:$M$9,$C165)*INDEX(Routes!$Y$6:$Y$9,$C165)*F165)-4),4.25+0.5*((INDEX(Routes!$M$6:$M$9,$C165)*INDEX(Routes!$Y$6:$Y$9,$C165)*F165)-5)))))</f>
        <v>0</v>
      </c>
    </row>
    <row r="166" customFormat="false" ht="15" hidden="false" customHeight="false" outlineLevel="0" collapsed="false">
      <c r="A166" s="2" t="s">
        <v>662</v>
      </c>
      <c r="B166" s="2" t="s">
        <v>630</v>
      </c>
      <c r="C166" s="16" t="n">
        <f aca="false">Sw_Route</f>
        <v>1</v>
      </c>
      <c r="D166" s="70" t="n">
        <v>100</v>
      </c>
      <c r="E166" s="92" t="n">
        <v>1.2</v>
      </c>
      <c r="F166" s="88" t="n">
        <f aca="false">PortMult</f>
        <v>1</v>
      </c>
      <c r="G166" s="89" t="n">
        <f aca="false">UtilFH</f>
        <v>0.85</v>
      </c>
      <c r="H166" s="89" t="n">
        <f aca="false">UtilBH</f>
        <v>0.5</v>
      </c>
      <c r="I166" s="90" t="n">
        <f aca="false">Speed</f>
        <v>13.5</v>
      </c>
      <c r="J166" s="88" t="n">
        <f aca="false">PortCostMult</f>
        <v>1</v>
      </c>
      <c r="K166" s="90" t="n">
        <f aca="false">EUA</f>
        <v>75</v>
      </c>
      <c r="L166" s="71" t="n">
        <f aca="false">INDEX(Routes!$E$6:$E$9,$C166)</f>
        <v>5000</v>
      </c>
      <c r="M166" s="72" t="n">
        <f aca="false">INDEX(Routes!$F$6:$F$9,$C166)/L166</f>
        <v>0.13</v>
      </c>
      <c r="N166" s="77" t="n">
        <f aca="false">2*L166*(1+SeaMargin)/(I166*24)</f>
        <v>32.4074074074074</v>
      </c>
      <c r="O166" s="84" t="n">
        <f aca="false">(I166/RefSpeed)^SpeedExp</f>
        <v>1</v>
      </c>
      <c r="P166" s="2" t="n">
        <f aca="false">IF(H166&gt;0,1,0)</f>
        <v>1</v>
      </c>
      <c r="Q166" s="71" t="n">
        <f aca="false">N166/2*O166*(ConsLaden+IF(P166=1,ConsLaden,ConsBallast))</f>
        <v>875</v>
      </c>
      <c r="R166" s="71" t="n">
        <f aca="false">Q166*(1-M166)</f>
        <v>761.25</v>
      </c>
      <c r="S166" s="71" t="n">
        <f aca="false">Q166*M166</f>
        <v>113.75</v>
      </c>
      <c r="T166" s="2" t="n">
        <f aca="false">1+P166</f>
        <v>2</v>
      </c>
      <c r="U166" s="77" t="n">
        <f aca="false">INDEX(Routes!$L$6:$L$9,$C166)*T166*F166</f>
        <v>10</v>
      </c>
      <c r="V166" s="77" t="n">
        <f aca="false">INDEX(Routes!$M$6:$M$9,$C166)*T166*F166</f>
        <v>7</v>
      </c>
      <c r="W166" s="77" t="n">
        <f aca="false">INDEX(Routes!$H$6:$H$9,$C166)*2</f>
        <v>0</v>
      </c>
      <c r="X166" s="71" t="n">
        <f aca="false">(U166+V166+W166)*ConsPort</f>
        <v>102</v>
      </c>
      <c r="Y166" s="67" t="n">
        <f aca="false">R166*D166*VLSFO_Mult+(S166+X166)*D166*MGO_Mult</f>
        <v>795440</v>
      </c>
      <c r="Z166" s="67" t="n">
        <f aca="false">(INDEX(Routes!$N$6:$N$9,$C166)+AN166+MIN(AC166*INDEX(Routes!$T$6:$T$9,$C166),INDEX(Routes!$V$6:$V$9,$C166))+INDEX(Routes!$O$6:$O$9,$C166)+AO166+MIN(AC166*INDEX(Routes!$U$6:$U$9,$C166),INDEX(Routes!$W$6:$W$9,$C166))+IF(P166=1,INDEX(Routes!$N$6:$N$9,$C166)+AN166+MIN(AD166*INDEX(Routes!$T$6:$T$9,$C166),INDEX(Routes!$V$6:$V$9,$C166))+INDEX(Routes!$O$6:$O$9,$C166)+AO166+MIN(AD166*INDEX(Routes!$U$6:$U$9,$C166),INDEX(Routes!$W$6:$W$9,$C166)),0))*J166</f>
        <v>252304.2096</v>
      </c>
      <c r="AA166" s="67" t="n">
        <f aca="false">INDEX(Routes!$R$6:$R$9,$C166)+IF(P166=1,INDEX(Routes!$R$6:$R$9,$C166),INDEX(Routes!$S$6:$S$9,$C166))</f>
        <v>0</v>
      </c>
      <c r="AB166" s="67" t="n">
        <f aca="false">((R166*CO2_VLSFO+S166*CO2_MGO)*INDEX(Routes!$I$6:$I$9,$C166)+(U166*INDEX(Routes!$P$6:$P$9,$C166)+V166*INDEX(Routes!$Q$6:$Q$9,$C166))*ConsPort*CO2_MGO)*PhaseIn*K166*FX</f>
        <v>123936.40875</v>
      </c>
      <c r="AC166" s="71" t="n">
        <f aca="false">Capacity*G166</f>
        <v>30600</v>
      </c>
      <c r="AD166" s="71" t="n">
        <f aca="false">Capacity*H166</f>
        <v>18000</v>
      </c>
      <c r="AE166" s="82" t="n">
        <f aca="false">INDEX(Routes!$J$6:$J$9,$C166)*E166</f>
        <v>62.4</v>
      </c>
      <c r="AF166" s="82" t="n">
        <f aca="false">INDEX(Routes!$K$6:$K$9,$C166)*E166</f>
        <v>45.6</v>
      </c>
      <c r="AG166" s="67" t="n">
        <f aca="false">AC166*AE166+AD166*AF166</f>
        <v>2730240</v>
      </c>
      <c r="AH166" s="67" t="n">
        <f aca="false">AG166*Commission</f>
        <v>68256</v>
      </c>
      <c r="AI166" s="67" t="n">
        <f aca="false">Y166+Z166+AA166+AB166+MiscVoy</f>
        <v>1196680.61835</v>
      </c>
      <c r="AJ166" s="77" t="n">
        <f aca="false">N166+U166+V166+W166</f>
        <v>49.4074074074074</v>
      </c>
      <c r="AK166" s="94" t="n">
        <f aca="false">(AG166-AH166-AI166)/AJ166</f>
        <v>29657.5646960645</v>
      </c>
      <c r="AL166" s="67" t="n">
        <f aca="false">AG166-AH166-AI166-Benchmark*AJ166</f>
        <v>575970.048316667</v>
      </c>
      <c r="AM166" s="82" t="n">
        <f aca="false">IF(AC166&gt;0,((Benchmark*AJ166+AI166)/(1-Commission)-AD166*AF166)/AC166,0)</f>
        <v>43.0948198988883</v>
      </c>
      <c r="AN166" s="67" t="n">
        <f aca="false">LOA_ft*Port_Tariffs!$C$9*IF((INDEX(Routes!$L$6:$L$9,$C166)*INDEX(Routes!$X$6:$X$9,$C166)*F166)&lt;=2,(INDEX(Routes!$L$6:$L$9,$C166)*INDEX(Routes!$X$6:$X$9,$C166)*F166),IF((INDEX(Routes!$L$6:$L$9,$C166)*INDEX(Routes!$X$6:$X$9,$C166)*F166)&lt;=3,2+0.9*((INDEX(Routes!$L$6:$L$9,$C166)*INDEX(Routes!$X$6:$X$9,$C166)*F166)-2),IF((INDEX(Routes!$L$6:$L$9,$C166)*INDEX(Routes!$X$6:$X$9,$C166)*F166)&lt;=4,2.9+0.75*((INDEX(Routes!$L$6:$L$9,$C166)*INDEX(Routes!$X$6:$X$9,$C166)*F166)-3),IF((INDEX(Routes!$L$6:$L$9,$C166)*INDEX(Routes!$X$6:$X$9,$C166)*F166)&lt;=5,3.65+0.6*((INDEX(Routes!$L$6:$L$9,$C166)*INDEX(Routes!$X$6:$X$9,$C166)*F166)-4),4.25+0.5*((INDEX(Routes!$L$6:$L$9,$C166)*INDEX(Routes!$X$6:$X$9,$C166)*F166)-5)))))</f>
        <v>19557.6</v>
      </c>
      <c r="AO166" s="67" t="n">
        <f aca="false">LOA_ft*Port_Tariffs!$C$9*IF((INDEX(Routes!$M$6:$M$9,$C166)*INDEX(Routes!$Y$6:$Y$9,$C166)*F166)&lt;=2,(INDEX(Routes!$M$6:$M$9,$C166)*INDEX(Routes!$Y$6:$Y$9,$C166)*F166),IF((INDEX(Routes!$M$6:$M$9,$C166)*INDEX(Routes!$Y$6:$Y$9,$C166)*F166)&lt;=3,2+0.9*((INDEX(Routes!$M$6:$M$9,$C166)*INDEX(Routes!$Y$6:$Y$9,$C166)*F166)-2),IF((INDEX(Routes!$M$6:$M$9,$C166)*INDEX(Routes!$Y$6:$Y$9,$C166)*F166)&lt;=4,2.9+0.75*((INDEX(Routes!$M$6:$M$9,$C166)*INDEX(Routes!$Y$6:$Y$9,$C166)*F166)-3),IF((INDEX(Routes!$M$6:$M$9,$C166)*INDEX(Routes!$Y$6:$Y$9,$C166)*F166)&lt;=5,3.65+0.6*((INDEX(Routes!$M$6:$M$9,$C166)*INDEX(Routes!$Y$6:$Y$9,$C166)*F166)-4),4.25+0.5*((INDEX(Routes!$M$6:$M$9,$C166)*INDEX(Routes!$Y$6:$Y$9,$C166)*F166)-5)))))</f>
        <v>0</v>
      </c>
    </row>
    <row r="167" customFormat="false" ht="15" hidden="false" customHeight="false" outlineLevel="0" collapsed="false">
      <c r="A167" s="2" t="s">
        <v>663</v>
      </c>
      <c r="B167" s="2" t="s">
        <v>630</v>
      </c>
      <c r="C167" s="16" t="n">
        <f aca="false">Sw_Route</f>
        <v>1</v>
      </c>
      <c r="D167" s="70" t="n">
        <v>110</v>
      </c>
      <c r="E167" s="92" t="n">
        <v>1.2</v>
      </c>
      <c r="F167" s="88" t="n">
        <f aca="false">PortMult</f>
        <v>1</v>
      </c>
      <c r="G167" s="89" t="n">
        <f aca="false">UtilFH</f>
        <v>0.85</v>
      </c>
      <c r="H167" s="89" t="n">
        <f aca="false">UtilBH</f>
        <v>0.5</v>
      </c>
      <c r="I167" s="90" t="n">
        <f aca="false">Speed</f>
        <v>13.5</v>
      </c>
      <c r="J167" s="88" t="n">
        <f aca="false">PortCostMult</f>
        <v>1</v>
      </c>
      <c r="K167" s="90" t="n">
        <f aca="false">EUA</f>
        <v>75</v>
      </c>
      <c r="L167" s="71" t="n">
        <f aca="false">INDEX(Routes!$E$6:$E$9,$C167)</f>
        <v>5000</v>
      </c>
      <c r="M167" s="72" t="n">
        <f aca="false">INDEX(Routes!$F$6:$F$9,$C167)/L167</f>
        <v>0.13</v>
      </c>
      <c r="N167" s="77" t="n">
        <f aca="false">2*L167*(1+SeaMargin)/(I167*24)</f>
        <v>32.4074074074074</v>
      </c>
      <c r="O167" s="84" t="n">
        <f aca="false">(I167/RefSpeed)^SpeedExp</f>
        <v>1</v>
      </c>
      <c r="P167" s="2" t="n">
        <f aca="false">IF(H167&gt;0,1,0)</f>
        <v>1</v>
      </c>
      <c r="Q167" s="71" t="n">
        <f aca="false">N167/2*O167*(ConsLaden+IF(P167=1,ConsLaden,ConsBallast))</f>
        <v>875</v>
      </c>
      <c r="R167" s="71" t="n">
        <f aca="false">Q167*(1-M167)</f>
        <v>761.25</v>
      </c>
      <c r="S167" s="71" t="n">
        <f aca="false">Q167*M167</f>
        <v>113.75</v>
      </c>
      <c r="T167" s="2" t="n">
        <f aca="false">1+P167</f>
        <v>2</v>
      </c>
      <c r="U167" s="77" t="n">
        <f aca="false">INDEX(Routes!$L$6:$L$9,$C167)*T167*F167</f>
        <v>10</v>
      </c>
      <c r="V167" s="77" t="n">
        <f aca="false">INDEX(Routes!$M$6:$M$9,$C167)*T167*F167</f>
        <v>7</v>
      </c>
      <c r="W167" s="77" t="n">
        <f aca="false">INDEX(Routes!$H$6:$H$9,$C167)*2</f>
        <v>0</v>
      </c>
      <c r="X167" s="71" t="n">
        <f aca="false">(U167+V167+W167)*ConsPort</f>
        <v>102</v>
      </c>
      <c r="Y167" s="67" t="n">
        <f aca="false">R167*D167*VLSFO_Mult+(S167+X167)*D167*MGO_Mult</f>
        <v>874984</v>
      </c>
      <c r="Z167" s="67" t="n">
        <f aca="false">(INDEX(Routes!$N$6:$N$9,$C167)+AN167+MIN(AC167*INDEX(Routes!$T$6:$T$9,$C167),INDEX(Routes!$V$6:$V$9,$C167))+INDEX(Routes!$O$6:$O$9,$C167)+AO167+MIN(AC167*INDEX(Routes!$U$6:$U$9,$C167),INDEX(Routes!$W$6:$W$9,$C167))+IF(P167=1,INDEX(Routes!$N$6:$N$9,$C167)+AN167+MIN(AD167*INDEX(Routes!$T$6:$T$9,$C167),INDEX(Routes!$V$6:$V$9,$C167))+INDEX(Routes!$O$6:$O$9,$C167)+AO167+MIN(AD167*INDEX(Routes!$U$6:$U$9,$C167),INDEX(Routes!$W$6:$W$9,$C167)),0))*J167</f>
        <v>252304.2096</v>
      </c>
      <c r="AA167" s="67" t="n">
        <f aca="false">INDEX(Routes!$R$6:$R$9,$C167)+IF(P167=1,INDEX(Routes!$R$6:$R$9,$C167),INDEX(Routes!$S$6:$S$9,$C167))</f>
        <v>0</v>
      </c>
      <c r="AB167" s="67" t="n">
        <f aca="false">((R167*CO2_VLSFO+S167*CO2_MGO)*INDEX(Routes!$I$6:$I$9,$C167)+(U167*INDEX(Routes!$P$6:$P$9,$C167)+V167*INDEX(Routes!$Q$6:$Q$9,$C167))*ConsPort*CO2_MGO)*PhaseIn*K167*FX</f>
        <v>123936.40875</v>
      </c>
      <c r="AC167" s="71" t="n">
        <f aca="false">Capacity*G167</f>
        <v>30600</v>
      </c>
      <c r="AD167" s="71" t="n">
        <f aca="false">Capacity*H167</f>
        <v>18000</v>
      </c>
      <c r="AE167" s="82" t="n">
        <f aca="false">INDEX(Routes!$J$6:$J$9,$C167)*E167</f>
        <v>62.4</v>
      </c>
      <c r="AF167" s="82" t="n">
        <f aca="false">INDEX(Routes!$K$6:$K$9,$C167)*E167</f>
        <v>45.6</v>
      </c>
      <c r="AG167" s="67" t="n">
        <f aca="false">AC167*AE167+AD167*AF167</f>
        <v>2730240</v>
      </c>
      <c r="AH167" s="67" t="n">
        <f aca="false">AG167*Commission</f>
        <v>68256</v>
      </c>
      <c r="AI167" s="67" t="n">
        <f aca="false">Y167+Z167+AA167+AB167+MiscVoy</f>
        <v>1276224.61835</v>
      </c>
      <c r="AJ167" s="77" t="n">
        <f aca="false">N167+U167+V167+W167</f>
        <v>49.4074074074074</v>
      </c>
      <c r="AK167" s="94" t="n">
        <f aca="false">(AG167-AH167-AI167)/AJ167</f>
        <v>28047.6036765742</v>
      </c>
      <c r="AL167" s="67" t="n">
        <f aca="false">AG167-AH167-AI167-Benchmark*AJ167</f>
        <v>496426.048316667</v>
      </c>
      <c r="AM167" s="82" t="n">
        <f aca="false">IF(AC167&gt;0,((Benchmark*AJ167+AI167)/(1-Commission)-AD167*AF167)/AC167,0)</f>
        <v>45.7609502826658</v>
      </c>
      <c r="AN167" s="67" t="n">
        <f aca="false">LOA_ft*Port_Tariffs!$C$9*IF((INDEX(Routes!$L$6:$L$9,$C167)*INDEX(Routes!$X$6:$X$9,$C167)*F167)&lt;=2,(INDEX(Routes!$L$6:$L$9,$C167)*INDEX(Routes!$X$6:$X$9,$C167)*F167),IF((INDEX(Routes!$L$6:$L$9,$C167)*INDEX(Routes!$X$6:$X$9,$C167)*F167)&lt;=3,2+0.9*((INDEX(Routes!$L$6:$L$9,$C167)*INDEX(Routes!$X$6:$X$9,$C167)*F167)-2),IF((INDEX(Routes!$L$6:$L$9,$C167)*INDEX(Routes!$X$6:$X$9,$C167)*F167)&lt;=4,2.9+0.75*((INDEX(Routes!$L$6:$L$9,$C167)*INDEX(Routes!$X$6:$X$9,$C167)*F167)-3),IF((INDEX(Routes!$L$6:$L$9,$C167)*INDEX(Routes!$X$6:$X$9,$C167)*F167)&lt;=5,3.65+0.6*((INDEX(Routes!$L$6:$L$9,$C167)*INDEX(Routes!$X$6:$X$9,$C167)*F167)-4),4.25+0.5*((INDEX(Routes!$L$6:$L$9,$C167)*INDEX(Routes!$X$6:$X$9,$C167)*F167)-5)))))</f>
        <v>19557.6</v>
      </c>
      <c r="AO167" s="67" t="n">
        <f aca="false">LOA_ft*Port_Tariffs!$C$9*IF((INDEX(Routes!$M$6:$M$9,$C167)*INDEX(Routes!$Y$6:$Y$9,$C167)*F167)&lt;=2,(INDEX(Routes!$M$6:$M$9,$C167)*INDEX(Routes!$Y$6:$Y$9,$C167)*F167),IF((INDEX(Routes!$M$6:$M$9,$C167)*INDEX(Routes!$Y$6:$Y$9,$C167)*F167)&lt;=3,2+0.9*((INDEX(Routes!$M$6:$M$9,$C167)*INDEX(Routes!$Y$6:$Y$9,$C167)*F167)-2),IF((INDEX(Routes!$M$6:$M$9,$C167)*INDEX(Routes!$Y$6:$Y$9,$C167)*F167)&lt;=4,2.9+0.75*((INDEX(Routes!$M$6:$M$9,$C167)*INDEX(Routes!$Y$6:$Y$9,$C167)*F167)-3),IF((INDEX(Routes!$M$6:$M$9,$C167)*INDEX(Routes!$Y$6:$Y$9,$C167)*F167)&lt;=5,3.65+0.6*((INDEX(Routes!$M$6:$M$9,$C167)*INDEX(Routes!$Y$6:$Y$9,$C167)*F167)-4),4.25+0.5*((INDEX(Routes!$M$6:$M$9,$C167)*INDEX(Routes!$Y$6:$Y$9,$C167)*F167)-5)))))</f>
        <v>0</v>
      </c>
    </row>
    <row r="168" customFormat="false" ht="15" hidden="false" customHeight="false" outlineLevel="0" collapsed="false">
      <c r="A168" s="2" t="s">
        <v>664</v>
      </c>
      <c r="B168" s="2" t="s">
        <v>630</v>
      </c>
      <c r="C168" s="16" t="n">
        <f aca="false">Sw_Route</f>
        <v>1</v>
      </c>
      <c r="D168" s="70" t="n">
        <v>120</v>
      </c>
      <c r="E168" s="92" t="n">
        <v>1.2</v>
      </c>
      <c r="F168" s="88" t="n">
        <f aca="false">PortMult</f>
        <v>1</v>
      </c>
      <c r="G168" s="89" t="n">
        <f aca="false">UtilFH</f>
        <v>0.85</v>
      </c>
      <c r="H168" s="89" t="n">
        <f aca="false">UtilBH</f>
        <v>0.5</v>
      </c>
      <c r="I168" s="90" t="n">
        <f aca="false">Speed</f>
        <v>13.5</v>
      </c>
      <c r="J168" s="88" t="n">
        <f aca="false">PortCostMult</f>
        <v>1</v>
      </c>
      <c r="K168" s="90" t="n">
        <f aca="false">EUA</f>
        <v>75</v>
      </c>
      <c r="L168" s="71" t="n">
        <f aca="false">INDEX(Routes!$E$6:$E$9,$C168)</f>
        <v>5000</v>
      </c>
      <c r="M168" s="72" t="n">
        <f aca="false">INDEX(Routes!$F$6:$F$9,$C168)/L168</f>
        <v>0.13</v>
      </c>
      <c r="N168" s="77" t="n">
        <f aca="false">2*L168*(1+SeaMargin)/(I168*24)</f>
        <v>32.4074074074074</v>
      </c>
      <c r="O168" s="84" t="n">
        <f aca="false">(I168/RefSpeed)^SpeedExp</f>
        <v>1</v>
      </c>
      <c r="P168" s="2" t="n">
        <f aca="false">IF(H168&gt;0,1,0)</f>
        <v>1</v>
      </c>
      <c r="Q168" s="71" t="n">
        <f aca="false">N168/2*O168*(ConsLaden+IF(P168=1,ConsLaden,ConsBallast))</f>
        <v>875</v>
      </c>
      <c r="R168" s="71" t="n">
        <f aca="false">Q168*(1-M168)</f>
        <v>761.25</v>
      </c>
      <c r="S168" s="71" t="n">
        <f aca="false">Q168*M168</f>
        <v>113.75</v>
      </c>
      <c r="T168" s="2" t="n">
        <f aca="false">1+P168</f>
        <v>2</v>
      </c>
      <c r="U168" s="77" t="n">
        <f aca="false">INDEX(Routes!$L$6:$L$9,$C168)*T168*F168</f>
        <v>10</v>
      </c>
      <c r="V168" s="77" t="n">
        <f aca="false">INDEX(Routes!$M$6:$M$9,$C168)*T168*F168</f>
        <v>7</v>
      </c>
      <c r="W168" s="77" t="n">
        <f aca="false">INDEX(Routes!$H$6:$H$9,$C168)*2</f>
        <v>0</v>
      </c>
      <c r="X168" s="71" t="n">
        <f aca="false">(U168+V168+W168)*ConsPort</f>
        <v>102</v>
      </c>
      <c r="Y168" s="67" t="n">
        <f aca="false">R168*D168*VLSFO_Mult+(S168+X168)*D168*MGO_Mult</f>
        <v>954528</v>
      </c>
      <c r="Z168" s="67" t="n">
        <f aca="false">(INDEX(Routes!$N$6:$N$9,$C168)+AN168+MIN(AC168*INDEX(Routes!$T$6:$T$9,$C168),INDEX(Routes!$V$6:$V$9,$C168))+INDEX(Routes!$O$6:$O$9,$C168)+AO168+MIN(AC168*INDEX(Routes!$U$6:$U$9,$C168),INDEX(Routes!$W$6:$W$9,$C168))+IF(P168=1,INDEX(Routes!$N$6:$N$9,$C168)+AN168+MIN(AD168*INDEX(Routes!$T$6:$T$9,$C168),INDEX(Routes!$V$6:$V$9,$C168))+INDEX(Routes!$O$6:$O$9,$C168)+AO168+MIN(AD168*INDEX(Routes!$U$6:$U$9,$C168),INDEX(Routes!$W$6:$W$9,$C168)),0))*J168</f>
        <v>252304.2096</v>
      </c>
      <c r="AA168" s="67" t="n">
        <f aca="false">INDEX(Routes!$R$6:$R$9,$C168)+IF(P168=1,INDEX(Routes!$R$6:$R$9,$C168),INDEX(Routes!$S$6:$S$9,$C168))</f>
        <v>0</v>
      </c>
      <c r="AB168" s="67" t="n">
        <f aca="false">((R168*CO2_VLSFO+S168*CO2_MGO)*INDEX(Routes!$I$6:$I$9,$C168)+(U168*INDEX(Routes!$P$6:$P$9,$C168)+V168*INDEX(Routes!$Q$6:$Q$9,$C168))*ConsPort*CO2_MGO)*PhaseIn*K168*FX</f>
        <v>123936.40875</v>
      </c>
      <c r="AC168" s="71" t="n">
        <f aca="false">Capacity*G168</f>
        <v>30600</v>
      </c>
      <c r="AD168" s="71" t="n">
        <f aca="false">Capacity*H168</f>
        <v>18000</v>
      </c>
      <c r="AE168" s="82" t="n">
        <f aca="false">INDEX(Routes!$J$6:$J$9,$C168)*E168</f>
        <v>62.4</v>
      </c>
      <c r="AF168" s="82" t="n">
        <f aca="false">INDEX(Routes!$K$6:$K$9,$C168)*E168</f>
        <v>45.6</v>
      </c>
      <c r="AG168" s="67" t="n">
        <f aca="false">AC168*AE168+AD168*AF168</f>
        <v>2730240</v>
      </c>
      <c r="AH168" s="67" t="n">
        <f aca="false">AG168*Commission</f>
        <v>68256</v>
      </c>
      <c r="AI168" s="67" t="n">
        <f aca="false">Y168+Z168+AA168+AB168+MiscVoy</f>
        <v>1355768.61835</v>
      </c>
      <c r="AJ168" s="77" t="n">
        <f aca="false">N168+U168+V168+W168</f>
        <v>49.4074074074074</v>
      </c>
      <c r="AK168" s="94" t="n">
        <f aca="false">(AG168-AH168-AI168)/AJ168</f>
        <v>26437.642657084</v>
      </c>
      <c r="AL168" s="67" t="n">
        <f aca="false">AG168-AH168-AI168-Benchmark*AJ168</f>
        <v>416882.048316667</v>
      </c>
      <c r="AM168" s="82" t="n">
        <f aca="false">IF(AC168&gt;0,((Benchmark*AJ168+AI168)/(1-Commission)-AD168*AF168)/AC168,0)</f>
        <v>48.4270806664432</v>
      </c>
      <c r="AN168" s="67" t="n">
        <f aca="false">LOA_ft*Port_Tariffs!$C$9*IF((INDEX(Routes!$L$6:$L$9,$C168)*INDEX(Routes!$X$6:$X$9,$C168)*F168)&lt;=2,(INDEX(Routes!$L$6:$L$9,$C168)*INDEX(Routes!$X$6:$X$9,$C168)*F168),IF((INDEX(Routes!$L$6:$L$9,$C168)*INDEX(Routes!$X$6:$X$9,$C168)*F168)&lt;=3,2+0.9*((INDEX(Routes!$L$6:$L$9,$C168)*INDEX(Routes!$X$6:$X$9,$C168)*F168)-2),IF((INDEX(Routes!$L$6:$L$9,$C168)*INDEX(Routes!$X$6:$X$9,$C168)*F168)&lt;=4,2.9+0.75*((INDEX(Routes!$L$6:$L$9,$C168)*INDEX(Routes!$X$6:$X$9,$C168)*F168)-3),IF((INDEX(Routes!$L$6:$L$9,$C168)*INDEX(Routes!$X$6:$X$9,$C168)*F168)&lt;=5,3.65+0.6*((INDEX(Routes!$L$6:$L$9,$C168)*INDEX(Routes!$X$6:$X$9,$C168)*F168)-4),4.25+0.5*((INDEX(Routes!$L$6:$L$9,$C168)*INDEX(Routes!$X$6:$X$9,$C168)*F168)-5)))))</f>
        <v>19557.6</v>
      </c>
      <c r="AO168" s="67" t="n">
        <f aca="false">LOA_ft*Port_Tariffs!$C$9*IF((INDEX(Routes!$M$6:$M$9,$C168)*INDEX(Routes!$Y$6:$Y$9,$C168)*F168)&lt;=2,(INDEX(Routes!$M$6:$M$9,$C168)*INDEX(Routes!$Y$6:$Y$9,$C168)*F168),IF((INDEX(Routes!$M$6:$M$9,$C168)*INDEX(Routes!$Y$6:$Y$9,$C168)*F168)&lt;=3,2+0.9*((INDEX(Routes!$M$6:$M$9,$C168)*INDEX(Routes!$Y$6:$Y$9,$C168)*F168)-2),IF((INDEX(Routes!$M$6:$M$9,$C168)*INDEX(Routes!$Y$6:$Y$9,$C168)*F168)&lt;=4,2.9+0.75*((INDEX(Routes!$M$6:$M$9,$C168)*INDEX(Routes!$Y$6:$Y$9,$C168)*F168)-3),IF((INDEX(Routes!$M$6:$M$9,$C168)*INDEX(Routes!$Y$6:$Y$9,$C168)*F168)&lt;=5,3.65+0.6*((INDEX(Routes!$M$6:$M$9,$C168)*INDEX(Routes!$Y$6:$Y$9,$C168)*F168)-4),4.25+0.5*((INDEX(Routes!$M$6:$M$9,$C168)*INDEX(Routes!$Y$6:$Y$9,$C168)*F168)-5)))))</f>
        <v>0</v>
      </c>
    </row>
    <row r="169" customFormat="false" ht="15" hidden="false" customHeight="false" outlineLevel="0" collapsed="false">
      <c r="A169" s="2" t="s">
        <v>665</v>
      </c>
      <c r="B169" s="2" t="s">
        <v>630</v>
      </c>
      <c r="C169" s="16" t="n">
        <f aca="false">Sw_Route</f>
        <v>1</v>
      </c>
      <c r="D169" s="70" t="n">
        <v>60</v>
      </c>
      <c r="E169" s="92" t="n">
        <v>1.3</v>
      </c>
      <c r="F169" s="88" t="n">
        <f aca="false">PortMult</f>
        <v>1</v>
      </c>
      <c r="G169" s="89" t="n">
        <f aca="false">UtilFH</f>
        <v>0.85</v>
      </c>
      <c r="H169" s="89" t="n">
        <f aca="false">UtilBH</f>
        <v>0.5</v>
      </c>
      <c r="I169" s="90" t="n">
        <f aca="false">Speed</f>
        <v>13.5</v>
      </c>
      <c r="J169" s="88" t="n">
        <f aca="false">PortCostMult</f>
        <v>1</v>
      </c>
      <c r="K169" s="90" t="n">
        <f aca="false">EUA</f>
        <v>75</v>
      </c>
      <c r="L169" s="71" t="n">
        <f aca="false">INDEX(Routes!$E$6:$E$9,$C169)</f>
        <v>5000</v>
      </c>
      <c r="M169" s="72" t="n">
        <f aca="false">INDEX(Routes!$F$6:$F$9,$C169)/L169</f>
        <v>0.13</v>
      </c>
      <c r="N169" s="77" t="n">
        <f aca="false">2*L169*(1+SeaMargin)/(I169*24)</f>
        <v>32.4074074074074</v>
      </c>
      <c r="O169" s="84" t="n">
        <f aca="false">(I169/RefSpeed)^SpeedExp</f>
        <v>1</v>
      </c>
      <c r="P169" s="2" t="n">
        <f aca="false">IF(H169&gt;0,1,0)</f>
        <v>1</v>
      </c>
      <c r="Q169" s="71" t="n">
        <f aca="false">N169/2*O169*(ConsLaden+IF(P169=1,ConsLaden,ConsBallast))</f>
        <v>875</v>
      </c>
      <c r="R169" s="71" t="n">
        <f aca="false">Q169*(1-M169)</f>
        <v>761.25</v>
      </c>
      <c r="S169" s="71" t="n">
        <f aca="false">Q169*M169</f>
        <v>113.75</v>
      </c>
      <c r="T169" s="2" t="n">
        <f aca="false">1+P169</f>
        <v>2</v>
      </c>
      <c r="U169" s="77" t="n">
        <f aca="false">INDEX(Routes!$L$6:$L$9,$C169)*T169*F169</f>
        <v>10</v>
      </c>
      <c r="V169" s="77" t="n">
        <f aca="false">INDEX(Routes!$M$6:$M$9,$C169)*T169*F169</f>
        <v>7</v>
      </c>
      <c r="W169" s="77" t="n">
        <f aca="false">INDEX(Routes!$H$6:$H$9,$C169)*2</f>
        <v>0</v>
      </c>
      <c r="X169" s="71" t="n">
        <f aca="false">(U169+V169+W169)*ConsPort</f>
        <v>102</v>
      </c>
      <c r="Y169" s="67" t="n">
        <f aca="false">R169*D169*VLSFO_Mult+(S169+X169)*D169*MGO_Mult</f>
        <v>477264</v>
      </c>
      <c r="Z169" s="67" t="n">
        <f aca="false">(INDEX(Routes!$N$6:$N$9,$C169)+AN169+MIN(AC169*INDEX(Routes!$T$6:$T$9,$C169),INDEX(Routes!$V$6:$V$9,$C169))+INDEX(Routes!$O$6:$O$9,$C169)+AO169+MIN(AC169*INDEX(Routes!$U$6:$U$9,$C169),INDEX(Routes!$W$6:$W$9,$C169))+IF(P169=1,INDEX(Routes!$N$6:$N$9,$C169)+AN169+MIN(AD169*INDEX(Routes!$T$6:$T$9,$C169),INDEX(Routes!$V$6:$V$9,$C169))+INDEX(Routes!$O$6:$O$9,$C169)+AO169+MIN(AD169*INDEX(Routes!$U$6:$U$9,$C169),INDEX(Routes!$W$6:$W$9,$C169)),0))*J169</f>
        <v>252304.2096</v>
      </c>
      <c r="AA169" s="67" t="n">
        <f aca="false">INDEX(Routes!$R$6:$R$9,$C169)+IF(P169=1,INDEX(Routes!$R$6:$R$9,$C169),INDEX(Routes!$S$6:$S$9,$C169))</f>
        <v>0</v>
      </c>
      <c r="AB169" s="67" t="n">
        <f aca="false">((R169*CO2_VLSFO+S169*CO2_MGO)*INDEX(Routes!$I$6:$I$9,$C169)+(U169*INDEX(Routes!$P$6:$P$9,$C169)+V169*INDEX(Routes!$Q$6:$Q$9,$C169))*ConsPort*CO2_MGO)*PhaseIn*K169*FX</f>
        <v>123936.40875</v>
      </c>
      <c r="AC169" s="71" t="n">
        <f aca="false">Capacity*G169</f>
        <v>30600</v>
      </c>
      <c r="AD169" s="71" t="n">
        <f aca="false">Capacity*H169</f>
        <v>18000</v>
      </c>
      <c r="AE169" s="82" t="n">
        <f aca="false">INDEX(Routes!$J$6:$J$9,$C169)*E169</f>
        <v>67.6</v>
      </c>
      <c r="AF169" s="82" t="n">
        <f aca="false">INDEX(Routes!$K$6:$K$9,$C169)*E169</f>
        <v>49.4</v>
      </c>
      <c r="AG169" s="67" t="n">
        <f aca="false">AC169*AE169+AD169*AF169</f>
        <v>2957760</v>
      </c>
      <c r="AH169" s="67" t="n">
        <f aca="false">AG169*Commission</f>
        <v>73944</v>
      </c>
      <c r="AI169" s="67" t="n">
        <f aca="false">Y169+Z169+AA169+AB169+MiscVoy</f>
        <v>878504.61835</v>
      </c>
      <c r="AJ169" s="77" t="n">
        <f aca="false">N169+U169+V169+W169</f>
        <v>49.4074074074074</v>
      </c>
      <c r="AK169" s="94" t="n">
        <f aca="false">(AG169-AH169-AI169)/AJ169</f>
        <v>40587.2618474888</v>
      </c>
      <c r="AL169" s="67" t="n">
        <f aca="false">AG169-AH169-AI169-Benchmark*AJ169</f>
        <v>1115978.04831667</v>
      </c>
      <c r="AM169" s="82" t="n">
        <f aca="false">IF(AC169&gt;0,((Benchmark*AJ169+AI169)/(1-Commission)-AD169*AF169)/AC169,0)</f>
        <v>30.1950042461315</v>
      </c>
      <c r="AN169" s="67" t="n">
        <f aca="false">LOA_ft*Port_Tariffs!$C$9*IF((INDEX(Routes!$L$6:$L$9,$C169)*INDEX(Routes!$X$6:$X$9,$C169)*F169)&lt;=2,(INDEX(Routes!$L$6:$L$9,$C169)*INDEX(Routes!$X$6:$X$9,$C169)*F169),IF((INDEX(Routes!$L$6:$L$9,$C169)*INDEX(Routes!$X$6:$X$9,$C169)*F169)&lt;=3,2+0.9*((INDEX(Routes!$L$6:$L$9,$C169)*INDEX(Routes!$X$6:$X$9,$C169)*F169)-2),IF((INDEX(Routes!$L$6:$L$9,$C169)*INDEX(Routes!$X$6:$X$9,$C169)*F169)&lt;=4,2.9+0.75*((INDEX(Routes!$L$6:$L$9,$C169)*INDEX(Routes!$X$6:$X$9,$C169)*F169)-3),IF((INDEX(Routes!$L$6:$L$9,$C169)*INDEX(Routes!$X$6:$X$9,$C169)*F169)&lt;=5,3.65+0.6*((INDEX(Routes!$L$6:$L$9,$C169)*INDEX(Routes!$X$6:$X$9,$C169)*F169)-4),4.25+0.5*((INDEX(Routes!$L$6:$L$9,$C169)*INDEX(Routes!$X$6:$X$9,$C169)*F169)-5)))))</f>
        <v>19557.6</v>
      </c>
      <c r="AO169" s="67" t="n">
        <f aca="false">LOA_ft*Port_Tariffs!$C$9*IF((INDEX(Routes!$M$6:$M$9,$C169)*INDEX(Routes!$Y$6:$Y$9,$C169)*F169)&lt;=2,(INDEX(Routes!$M$6:$M$9,$C169)*INDEX(Routes!$Y$6:$Y$9,$C169)*F169),IF((INDEX(Routes!$M$6:$M$9,$C169)*INDEX(Routes!$Y$6:$Y$9,$C169)*F169)&lt;=3,2+0.9*((INDEX(Routes!$M$6:$M$9,$C169)*INDEX(Routes!$Y$6:$Y$9,$C169)*F169)-2),IF((INDEX(Routes!$M$6:$M$9,$C169)*INDEX(Routes!$Y$6:$Y$9,$C169)*F169)&lt;=4,2.9+0.75*((INDEX(Routes!$M$6:$M$9,$C169)*INDEX(Routes!$Y$6:$Y$9,$C169)*F169)-3),IF((INDEX(Routes!$M$6:$M$9,$C169)*INDEX(Routes!$Y$6:$Y$9,$C169)*F169)&lt;=5,3.65+0.6*((INDEX(Routes!$M$6:$M$9,$C169)*INDEX(Routes!$Y$6:$Y$9,$C169)*F169)-4),4.25+0.5*((INDEX(Routes!$M$6:$M$9,$C169)*INDEX(Routes!$Y$6:$Y$9,$C169)*F169)-5)))))</f>
        <v>0</v>
      </c>
    </row>
    <row r="170" customFormat="false" ht="15" hidden="false" customHeight="false" outlineLevel="0" collapsed="false">
      <c r="A170" s="2" t="s">
        <v>666</v>
      </c>
      <c r="B170" s="2" t="s">
        <v>630</v>
      </c>
      <c r="C170" s="16" t="n">
        <f aca="false">Sw_Route</f>
        <v>1</v>
      </c>
      <c r="D170" s="70" t="n">
        <v>70</v>
      </c>
      <c r="E170" s="92" t="n">
        <v>1.3</v>
      </c>
      <c r="F170" s="88" t="n">
        <f aca="false">PortMult</f>
        <v>1</v>
      </c>
      <c r="G170" s="89" t="n">
        <f aca="false">UtilFH</f>
        <v>0.85</v>
      </c>
      <c r="H170" s="89" t="n">
        <f aca="false">UtilBH</f>
        <v>0.5</v>
      </c>
      <c r="I170" s="90" t="n">
        <f aca="false">Speed</f>
        <v>13.5</v>
      </c>
      <c r="J170" s="88" t="n">
        <f aca="false">PortCostMult</f>
        <v>1</v>
      </c>
      <c r="K170" s="90" t="n">
        <f aca="false">EUA</f>
        <v>75</v>
      </c>
      <c r="L170" s="71" t="n">
        <f aca="false">INDEX(Routes!$E$6:$E$9,$C170)</f>
        <v>5000</v>
      </c>
      <c r="M170" s="72" t="n">
        <f aca="false">INDEX(Routes!$F$6:$F$9,$C170)/L170</f>
        <v>0.13</v>
      </c>
      <c r="N170" s="77" t="n">
        <f aca="false">2*L170*(1+SeaMargin)/(I170*24)</f>
        <v>32.4074074074074</v>
      </c>
      <c r="O170" s="84" t="n">
        <f aca="false">(I170/RefSpeed)^SpeedExp</f>
        <v>1</v>
      </c>
      <c r="P170" s="2" t="n">
        <f aca="false">IF(H170&gt;0,1,0)</f>
        <v>1</v>
      </c>
      <c r="Q170" s="71" t="n">
        <f aca="false">N170/2*O170*(ConsLaden+IF(P170=1,ConsLaden,ConsBallast))</f>
        <v>875</v>
      </c>
      <c r="R170" s="71" t="n">
        <f aca="false">Q170*(1-M170)</f>
        <v>761.25</v>
      </c>
      <c r="S170" s="71" t="n">
        <f aca="false">Q170*M170</f>
        <v>113.75</v>
      </c>
      <c r="T170" s="2" t="n">
        <f aca="false">1+P170</f>
        <v>2</v>
      </c>
      <c r="U170" s="77" t="n">
        <f aca="false">INDEX(Routes!$L$6:$L$9,$C170)*T170*F170</f>
        <v>10</v>
      </c>
      <c r="V170" s="77" t="n">
        <f aca="false">INDEX(Routes!$M$6:$M$9,$C170)*T170*F170</f>
        <v>7</v>
      </c>
      <c r="W170" s="77" t="n">
        <f aca="false">INDEX(Routes!$H$6:$H$9,$C170)*2</f>
        <v>0</v>
      </c>
      <c r="X170" s="71" t="n">
        <f aca="false">(U170+V170+W170)*ConsPort</f>
        <v>102</v>
      </c>
      <c r="Y170" s="67" t="n">
        <f aca="false">R170*D170*VLSFO_Mult+(S170+X170)*D170*MGO_Mult</f>
        <v>556808</v>
      </c>
      <c r="Z170" s="67" t="n">
        <f aca="false">(INDEX(Routes!$N$6:$N$9,$C170)+AN170+MIN(AC170*INDEX(Routes!$T$6:$T$9,$C170),INDEX(Routes!$V$6:$V$9,$C170))+INDEX(Routes!$O$6:$O$9,$C170)+AO170+MIN(AC170*INDEX(Routes!$U$6:$U$9,$C170),INDEX(Routes!$W$6:$W$9,$C170))+IF(P170=1,INDEX(Routes!$N$6:$N$9,$C170)+AN170+MIN(AD170*INDEX(Routes!$T$6:$T$9,$C170),INDEX(Routes!$V$6:$V$9,$C170))+INDEX(Routes!$O$6:$O$9,$C170)+AO170+MIN(AD170*INDEX(Routes!$U$6:$U$9,$C170),INDEX(Routes!$W$6:$W$9,$C170)),0))*J170</f>
        <v>252304.2096</v>
      </c>
      <c r="AA170" s="67" t="n">
        <f aca="false">INDEX(Routes!$R$6:$R$9,$C170)+IF(P170=1,INDEX(Routes!$R$6:$R$9,$C170),INDEX(Routes!$S$6:$S$9,$C170))</f>
        <v>0</v>
      </c>
      <c r="AB170" s="67" t="n">
        <f aca="false">((R170*CO2_VLSFO+S170*CO2_MGO)*INDEX(Routes!$I$6:$I$9,$C170)+(U170*INDEX(Routes!$P$6:$P$9,$C170)+V170*INDEX(Routes!$Q$6:$Q$9,$C170))*ConsPort*CO2_MGO)*PhaseIn*K170*FX</f>
        <v>123936.40875</v>
      </c>
      <c r="AC170" s="71" t="n">
        <f aca="false">Capacity*G170</f>
        <v>30600</v>
      </c>
      <c r="AD170" s="71" t="n">
        <f aca="false">Capacity*H170</f>
        <v>18000</v>
      </c>
      <c r="AE170" s="82" t="n">
        <f aca="false">INDEX(Routes!$J$6:$J$9,$C170)*E170</f>
        <v>67.6</v>
      </c>
      <c r="AF170" s="82" t="n">
        <f aca="false">INDEX(Routes!$K$6:$K$9,$C170)*E170</f>
        <v>49.4</v>
      </c>
      <c r="AG170" s="67" t="n">
        <f aca="false">AC170*AE170+AD170*AF170</f>
        <v>2957760</v>
      </c>
      <c r="AH170" s="67" t="n">
        <f aca="false">AG170*Commission</f>
        <v>73944</v>
      </c>
      <c r="AI170" s="67" t="n">
        <f aca="false">Y170+Z170+AA170+AB170+MiscVoy</f>
        <v>958048.61835</v>
      </c>
      <c r="AJ170" s="77" t="n">
        <f aca="false">N170+U170+V170+W170</f>
        <v>49.4074074074074</v>
      </c>
      <c r="AK170" s="94" t="n">
        <f aca="false">(AG170-AH170-AI170)/AJ170</f>
        <v>38977.3008279985</v>
      </c>
      <c r="AL170" s="67" t="n">
        <f aca="false">AG170-AH170-AI170-Benchmark*AJ170</f>
        <v>1036434.04831667</v>
      </c>
      <c r="AM170" s="82" t="n">
        <f aca="false">IF(AC170&gt;0,((Benchmark*AJ170+AI170)/(1-Commission)-AD170*AF170)/AC170,0)</f>
        <v>32.8611346299089</v>
      </c>
      <c r="AN170" s="67" t="n">
        <f aca="false">LOA_ft*Port_Tariffs!$C$9*IF((INDEX(Routes!$L$6:$L$9,$C170)*INDEX(Routes!$X$6:$X$9,$C170)*F170)&lt;=2,(INDEX(Routes!$L$6:$L$9,$C170)*INDEX(Routes!$X$6:$X$9,$C170)*F170),IF((INDEX(Routes!$L$6:$L$9,$C170)*INDEX(Routes!$X$6:$X$9,$C170)*F170)&lt;=3,2+0.9*((INDEX(Routes!$L$6:$L$9,$C170)*INDEX(Routes!$X$6:$X$9,$C170)*F170)-2),IF((INDEX(Routes!$L$6:$L$9,$C170)*INDEX(Routes!$X$6:$X$9,$C170)*F170)&lt;=4,2.9+0.75*((INDEX(Routes!$L$6:$L$9,$C170)*INDEX(Routes!$X$6:$X$9,$C170)*F170)-3),IF((INDEX(Routes!$L$6:$L$9,$C170)*INDEX(Routes!$X$6:$X$9,$C170)*F170)&lt;=5,3.65+0.6*((INDEX(Routes!$L$6:$L$9,$C170)*INDEX(Routes!$X$6:$X$9,$C170)*F170)-4),4.25+0.5*((INDEX(Routes!$L$6:$L$9,$C170)*INDEX(Routes!$X$6:$X$9,$C170)*F170)-5)))))</f>
        <v>19557.6</v>
      </c>
      <c r="AO170" s="67" t="n">
        <f aca="false">LOA_ft*Port_Tariffs!$C$9*IF((INDEX(Routes!$M$6:$M$9,$C170)*INDEX(Routes!$Y$6:$Y$9,$C170)*F170)&lt;=2,(INDEX(Routes!$M$6:$M$9,$C170)*INDEX(Routes!$Y$6:$Y$9,$C170)*F170),IF((INDEX(Routes!$M$6:$M$9,$C170)*INDEX(Routes!$Y$6:$Y$9,$C170)*F170)&lt;=3,2+0.9*((INDEX(Routes!$M$6:$M$9,$C170)*INDEX(Routes!$Y$6:$Y$9,$C170)*F170)-2),IF((INDEX(Routes!$M$6:$M$9,$C170)*INDEX(Routes!$Y$6:$Y$9,$C170)*F170)&lt;=4,2.9+0.75*((INDEX(Routes!$M$6:$M$9,$C170)*INDEX(Routes!$Y$6:$Y$9,$C170)*F170)-3),IF((INDEX(Routes!$M$6:$M$9,$C170)*INDEX(Routes!$Y$6:$Y$9,$C170)*F170)&lt;=5,3.65+0.6*((INDEX(Routes!$M$6:$M$9,$C170)*INDEX(Routes!$Y$6:$Y$9,$C170)*F170)-4),4.25+0.5*((INDEX(Routes!$M$6:$M$9,$C170)*INDEX(Routes!$Y$6:$Y$9,$C170)*F170)-5)))))</f>
        <v>0</v>
      </c>
    </row>
    <row r="171" customFormat="false" ht="15" hidden="false" customHeight="false" outlineLevel="0" collapsed="false">
      <c r="A171" s="2" t="s">
        <v>667</v>
      </c>
      <c r="B171" s="2" t="s">
        <v>630</v>
      </c>
      <c r="C171" s="16" t="n">
        <f aca="false">Sw_Route</f>
        <v>1</v>
      </c>
      <c r="D171" s="70" t="n">
        <v>80</v>
      </c>
      <c r="E171" s="92" t="n">
        <v>1.3</v>
      </c>
      <c r="F171" s="88" t="n">
        <f aca="false">PortMult</f>
        <v>1</v>
      </c>
      <c r="G171" s="89" t="n">
        <f aca="false">UtilFH</f>
        <v>0.85</v>
      </c>
      <c r="H171" s="89" t="n">
        <f aca="false">UtilBH</f>
        <v>0.5</v>
      </c>
      <c r="I171" s="90" t="n">
        <f aca="false">Speed</f>
        <v>13.5</v>
      </c>
      <c r="J171" s="88" t="n">
        <f aca="false">PortCostMult</f>
        <v>1</v>
      </c>
      <c r="K171" s="90" t="n">
        <f aca="false">EUA</f>
        <v>75</v>
      </c>
      <c r="L171" s="71" t="n">
        <f aca="false">INDEX(Routes!$E$6:$E$9,$C171)</f>
        <v>5000</v>
      </c>
      <c r="M171" s="72" t="n">
        <f aca="false">INDEX(Routes!$F$6:$F$9,$C171)/L171</f>
        <v>0.13</v>
      </c>
      <c r="N171" s="77" t="n">
        <f aca="false">2*L171*(1+SeaMargin)/(I171*24)</f>
        <v>32.4074074074074</v>
      </c>
      <c r="O171" s="84" t="n">
        <f aca="false">(I171/RefSpeed)^SpeedExp</f>
        <v>1</v>
      </c>
      <c r="P171" s="2" t="n">
        <f aca="false">IF(H171&gt;0,1,0)</f>
        <v>1</v>
      </c>
      <c r="Q171" s="71" t="n">
        <f aca="false">N171/2*O171*(ConsLaden+IF(P171=1,ConsLaden,ConsBallast))</f>
        <v>875</v>
      </c>
      <c r="R171" s="71" t="n">
        <f aca="false">Q171*(1-M171)</f>
        <v>761.25</v>
      </c>
      <c r="S171" s="71" t="n">
        <f aca="false">Q171*M171</f>
        <v>113.75</v>
      </c>
      <c r="T171" s="2" t="n">
        <f aca="false">1+P171</f>
        <v>2</v>
      </c>
      <c r="U171" s="77" t="n">
        <f aca="false">INDEX(Routes!$L$6:$L$9,$C171)*T171*F171</f>
        <v>10</v>
      </c>
      <c r="V171" s="77" t="n">
        <f aca="false">INDEX(Routes!$M$6:$M$9,$C171)*T171*F171</f>
        <v>7</v>
      </c>
      <c r="W171" s="77" t="n">
        <f aca="false">INDEX(Routes!$H$6:$H$9,$C171)*2</f>
        <v>0</v>
      </c>
      <c r="X171" s="71" t="n">
        <f aca="false">(U171+V171+W171)*ConsPort</f>
        <v>102</v>
      </c>
      <c r="Y171" s="67" t="n">
        <f aca="false">R171*D171*VLSFO_Mult+(S171+X171)*D171*MGO_Mult</f>
        <v>636352</v>
      </c>
      <c r="Z171" s="67" t="n">
        <f aca="false">(INDEX(Routes!$N$6:$N$9,$C171)+AN171+MIN(AC171*INDEX(Routes!$T$6:$T$9,$C171),INDEX(Routes!$V$6:$V$9,$C171))+INDEX(Routes!$O$6:$O$9,$C171)+AO171+MIN(AC171*INDEX(Routes!$U$6:$U$9,$C171),INDEX(Routes!$W$6:$W$9,$C171))+IF(P171=1,INDEX(Routes!$N$6:$N$9,$C171)+AN171+MIN(AD171*INDEX(Routes!$T$6:$T$9,$C171),INDEX(Routes!$V$6:$V$9,$C171))+INDEX(Routes!$O$6:$O$9,$C171)+AO171+MIN(AD171*INDEX(Routes!$U$6:$U$9,$C171),INDEX(Routes!$W$6:$W$9,$C171)),0))*J171</f>
        <v>252304.2096</v>
      </c>
      <c r="AA171" s="67" t="n">
        <f aca="false">INDEX(Routes!$R$6:$R$9,$C171)+IF(P171=1,INDEX(Routes!$R$6:$R$9,$C171),INDEX(Routes!$S$6:$S$9,$C171))</f>
        <v>0</v>
      </c>
      <c r="AB171" s="67" t="n">
        <f aca="false">((R171*CO2_VLSFO+S171*CO2_MGO)*INDEX(Routes!$I$6:$I$9,$C171)+(U171*INDEX(Routes!$P$6:$P$9,$C171)+V171*INDEX(Routes!$Q$6:$Q$9,$C171))*ConsPort*CO2_MGO)*PhaseIn*K171*FX</f>
        <v>123936.40875</v>
      </c>
      <c r="AC171" s="71" t="n">
        <f aca="false">Capacity*G171</f>
        <v>30600</v>
      </c>
      <c r="AD171" s="71" t="n">
        <f aca="false">Capacity*H171</f>
        <v>18000</v>
      </c>
      <c r="AE171" s="82" t="n">
        <f aca="false">INDEX(Routes!$J$6:$J$9,$C171)*E171</f>
        <v>67.6</v>
      </c>
      <c r="AF171" s="82" t="n">
        <f aca="false">INDEX(Routes!$K$6:$K$9,$C171)*E171</f>
        <v>49.4</v>
      </c>
      <c r="AG171" s="67" t="n">
        <f aca="false">AC171*AE171+AD171*AF171</f>
        <v>2957760</v>
      </c>
      <c r="AH171" s="67" t="n">
        <f aca="false">AG171*Commission</f>
        <v>73944</v>
      </c>
      <c r="AI171" s="67" t="n">
        <f aca="false">Y171+Z171+AA171+AB171+MiscVoy</f>
        <v>1037592.61835</v>
      </c>
      <c r="AJ171" s="77" t="n">
        <f aca="false">N171+U171+V171+W171</f>
        <v>49.4074074074074</v>
      </c>
      <c r="AK171" s="94" t="n">
        <f aca="false">(AG171-AH171-AI171)/AJ171</f>
        <v>37367.3398085083</v>
      </c>
      <c r="AL171" s="67" t="n">
        <f aca="false">AG171-AH171-AI171-Benchmark*AJ171</f>
        <v>956890.048316667</v>
      </c>
      <c r="AM171" s="82" t="n">
        <f aca="false">IF(AC171&gt;0,((Benchmark*AJ171+AI171)/(1-Commission)-AD171*AF171)/AC171,0)</f>
        <v>35.5272650136864</v>
      </c>
      <c r="AN171" s="67" t="n">
        <f aca="false">LOA_ft*Port_Tariffs!$C$9*IF((INDEX(Routes!$L$6:$L$9,$C171)*INDEX(Routes!$X$6:$X$9,$C171)*F171)&lt;=2,(INDEX(Routes!$L$6:$L$9,$C171)*INDEX(Routes!$X$6:$X$9,$C171)*F171),IF((INDEX(Routes!$L$6:$L$9,$C171)*INDEX(Routes!$X$6:$X$9,$C171)*F171)&lt;=3,2+0.9*((INDEX(Routes!$L$6:$L$9,$C171)*INDEX(Routes!$X$6:$X$9,$C171)*F171)-2),IF((INDEX(Routes!$L$6:$L$9,$C171)*INDEX(Routes!$X$6:$X$9,$C171)*F171)&lt;=4,2.9+0.75*((INDEX(Routes!$L$6:$L$9,$C171)*INDEX(Routes!$X$6:$X$9,$C171)*F171)-3),IF((INDEX(Routes!$L$6:$L$9,$C171)*INDEX(Routes!$X$6:$X$9,$C171)*F171)&lt;=5,3.65+0.6*((INDEX(Routes!$L$6:$L$9,$C171)*INDEX(Routes!$X$6:$X$9,$C171)*F171)-4),4.25+0.5*((INDEX(Routes!$L$6:$L$9,$C171)*INDEX(Routes!$X$6:$X$9,$C171)*F171)-5)))))</f>
        <v>19557.6</v>
      </c>
      <c r="AO171" s="67" t="n">
        <f aca="false">LOA_ft*Port_Tariffs!$C$9*IF((INDEX(Routes!$M$6:$M$9,$C171)*INDEX(Routes!$Y$6:$Y$9,$C171)*F171)&lt;=2,(INDEX(Routes!$M$6:$M$9,$C171)*INDEX(Routes!$Y$6:$Y$9,$C171)*F171),IF((INDEX(Routes!$M$6:$M$9,$C171)*INDEX(Routes!$Y$6:$Y$9,$C171)*F171)&lt;=3,2+0.9*((INDEX(Routes!$M$6:$M$9,$C171)*INDEX(Routes!$Y$6:$Y$9,$C171)*F171)-2),IF((INDEX(Routes!$M$6:$M$9,$C171)*INDEX(Routes!$Y$6:$Y$9,$C171)*F171)&lt;=4,2.9+0.75*((INDEX(Routes!$M$6:$M$9,$C171)*INDEX(Routes!$Y$6:$Y$9,$C171)*F171)-3),IF((INDEX(Routes!$M$6:$M$9,$C171)*INDEX(Routes!$Y$6:$Y$9,$C171)*F171)&lt;=5,3.65+0.6*((INDEX(Routes!$M$6:$M$9,$C171)*INDEX(Routes!$Y$6:$Y$9,$C171)*F171)-4),4.25+0.5*((INDEX(Routes!$M$6:$M$9,$C171)*INDEX(Routes!$Y$6:$Y$9,$C171)*F171)-5)))))</f>
        <v>0</v>
      </c>
    </row>
    <row r="172" customFormat="false" ht="15" hidden="false" customHeight="false" outlineLevel="0" collapsed="false">
      <c r="A172" s="2" t="s">
        <v>668</v>
      </c>
      <c r="B172" s="2" t="s">
        <v>630</v>
      </c>
      <c r="C172" s="16" t="n">
        <f aca="false">Sw_Route</f>
        <v>1</v>
      </c>
      <c r="D172" s="70" t="n">
        <v>90</v>
      </c>
      <c r="E172" s="92" t="n">
        <v>1.3</v>
      </c>
      <c r="F172" s="88" t="n">
        <f aca="false">PortMult</f>
        <v>1</v>
      </c>
      <c r="G172" s="89" t="n">
        <f aca="false">UtilFH</f>
        <v>0.85</v>
      </c>
      <c r="H172" s="89" t="n">
        <f aca="false">UtilBH</f>
        <v>0.5</v>
      </c>
      <c r="I172" s="90" t="n">
        <f aca="false">Speed</f>
        <v>13.5</v>
      </c>
      <c r="J172" s="88" t="n">
        <f aca="false">PortCostMult</f>
        <v>1</v>
      </c>
      <c r="K172" s="90" t="n">
        <f aca="false">EUA</f>
        <v>75</v>
      </c>
      <c r="L172" s="71" t="n">
        <f aca="false">INDEX(Routes!$E$6:$E$9,$C172)</f>
        <v>5000</v>
      </c>
      <c r="M172" s="72" t="n">
        <f aca="false">INDEX(Routes!$F$6:$F$9,$C172)/L172</f>
        <v>0.13</v>
      </c>
      <c r="N172" s="77" t="n">
        <f aca="false">2*L172*(1+SeaMargin)/(I172*24)</f>
        <v>32.4074074074074</v>
      </c>
      <c r="O172" s="84" t="n">
        <f aca="false">(I172/RefSpeed)^SpeedExp</f>
        <v>1</v>
      </c>
      <c r="P172" s="2" t="n">
        <f aca="false">IF(H172&gt;0,1,0)</f>
        <v>1</v>
      </c>
      <c r="Q172" s="71" t="n">
        <f aca="false">N172/2*O172*(ConsLaden+IF(P172=1,ConsLaden,ConsBallast))</f>
        <v>875</v>
      </c>
      <c r="R172" s="71" t="n">
        <f aca="false">Q172*(1-M172)</f>
        <v>761.25</v>
      </c>
      <c r="S172" s="71" t="n">
        <f aca="false">Q172*M172</f>
        <v>113.75</v>
      </c>
      <c r="T172" s="2" t="n">
        <f aca="false">1+P172</f>
        <v>2</v>
      </c>
      <c r="U172" s="77" t="n">
        <f aca="false">INDEX(Routes!$L$6:$L$9,$C172)*T172*F172</f>
        <v>10</v>
      </c>
      <c r="V172" s="77" t="n">
        <f aca="false">INDEX(Routes!$M$6:$M$9,$C172)*T172*F172</f>
        <v>7</v>
      </c>
      <c r="W172" s="77" t="n">
        <f aca="false">INDEX(Routes!$H$6:$H$9,$C172)*2</f>
        <v>0</v>
      </c>
      <c r="X172" s="71" t="n">
        <f aca="false">(U172+V172+W172)*ConsPort</f>
        <v>102</v>
      </c>
      <c r="Y172" s="67" t="n">
        <f aca="false">R172*D172*VLSFO_Mult+(S172+X172)*D172*MGO_Mult</f>
        <v>715896</v>
      </c>
      <c r="Z172" s="67" t="n">
        <f aca="false">(INDEX(Routes!$N$6:$N$9,$C172)+AN172+MIN(AC172*INDEX(Routes!$T$6:$T$9,$C172),INDEX(Routes!$V$6:$V$9,$C172))+INDEX(Routes!$O$6:$O$9,$C172)+AO172+MIN(AC172*INDEX(Routes!$U$6:$U$9,$C172),INDEX(Routes!$W$6:$W$9,$C172))+IF(P172=1,INDEX(Routes!$N$6:$N$9,$C172)+AN172+MIN(AD172*INDEX(Routes!$T$6:$T$9,$C172),INDEX(Routes!$V$6:$V$9,$C172))+INDEX(Routes!$O$6:$O$9,$C172)+AO172+MIN(AD172*INDEX(Routes!$U$6:$U$9,$C172),INDEX(Routes!$W$6:$W$9,$C172)),0))*J172</f>
        <v>252304.2096</v>
      </c>
      <c r="AA172" s="67" t="n">
        <f aca="false">INDEX(Routes!$R$6:$R$9,$C172)+IF(P172=1,INDEX(Routes!$R$6:$R$9,$C172),INDEX(Routes!$S$6:$S$9,$C172))</f>
        <v>0</v>
      </c>
      <c r="AB172" s="67" t="n">
        <f aca="false">((R172*CO2_VLSFO+S172*CO2_MGO)*INDEX(Routes!$I$6:$I$9,$C172)+(U172*INDEX(Routes!$P$6:$P$9,$C172)+V172*INDEX(Routes!$Q$6:$Q$9,$C172))*ConsPort*CO2_MGO)*PhaseIn*K172*FX</f>
        <v>123936.40875</v>
      </c>
      <c r="AC172" s="71" t="n">
        <f aca="false">Capacity*G172</f>
        <v>30600</v>
      </c>
      <c r="AD172" s="71" t="n">
        <f aca="false">Capacity*H172</f>
        <v>18000</v>
      </c>
      <c r="AE172" s="82" t="n">
        <f aca="false">INDEX(Routes!$J$6:$J$9,$C172)*E172</f>
        <v>67.6</v>
      </c>
      <c r="AF172" s="82" t="n">
        <f aca="false">INDEX(Routes!$K$6:$K$9,$C172)*E172</f>
        <v>49.4</v>
      </c>
      <c r="AG172" s="67" t="n">
        <f aca="false">AC172*AE172+AD172*AF172</f>
        <v>2957760</v>
      </c>
      <c r="AH172" s="67" t="n">
        <f aca="false">AG172*Commission</f>
        <v>73944</v>
      </c>
      <c r="AI172" s="67" t="n">
        <f aca="false">Y172+Z172+AA172+AB172+MiscVoy</f>
        <v>1117136.61835</v>
      </c>
      <c r="AJ172" s="77" t="n">
        <f aca="false">N172+U172+V172+W172</f>
        <v>49.4074074074074</v>
      </c>
      <c r="AK172" s="94" t="n">
        <f aca="false">(AG172-AH172-AI172)/AJ172</f>
        <v>35757.378789018</v>
      </c>
      <c r="AL172" s="67" t="n">
        <f aca="false">AG172-AH172-AI172-Benchmark*AJ172</f>
        <v>877346.048316667</v>
      </c>
      <c r="AM172" s="82" t="n">
        <f aca="false">IF(AC172&gt;0,((Benchmark*AJ172+AI172)/(1-Commission)-AD172*AF172)/AC172,0)</f>
        <v>38.1933953974638</v>
      </c>
      <c r="AN172" s="67" t="n">
        <f aca="false">LOA_ft*Port_Tariffs!$C$9*IF((INDEX(Routes!$L$6:$L$9,$C172)*INDEX(Routes!$X$6:$X$9,$C172)*F172)&lt;=2,(INDEX(Routes!$L$6:$L$9,$C172)*INDEX(Routes!$X$6:$X$9,$C172)*F172),IF((INDEX(Routes!$L$6:$L$9,$C172)*INDEX(Routes!$X$6:$X$9,$C172)*F172)&lt;=3,2+0.9*((INDEX(Routes!$L$6:$L$9,$C172)*INDEX(Routes!$X$6:$X$9,$C172)*F172)-2),IF((INDEX(Routes!$L$6:$L$9,$C172)*INDEX(Routes!$X$6:$X$9,$C172)*F172)&lt;=4,2.9+0.75*((INDEX(Routes!$L$6:$L$9,$C172)*INDEX(Routes!$X$6:$X$9,$C172)*F172)-3),IF((INDEX(Routes!$L$6:$L$9,$C172)*INDEX(Routes!$X$6:$X$9,$C172)*F172)&lt;=5,3.65+0.6*((INDEX(Routes!$L$6:$L$9,$C172)*INDEX(Routes!$X$6:$X$9,$C172)*F172)-4),4.25+0.5*((INDEX(Routes!$L$6:$L$9,$C172)*INDEX(Routes!$X$6:$X$9,$C172)*F172)-5)))))</f>
        <v>19557.6</v>
      </c>
      <c r="AO172" s="67" t="n">
        <f aca="false">LOA_ft*Port_Tariffs!$C$9*IF((INDEX(Routes!$M$6:$M$9,$C172)*INDEX(Routes!$Y$6:$Y$9,$C172)*F172)&lt;=2,(INDEX(Routes!$M$6:$M$9,$C172)*INDEX(Routes!$Y$6:$Y$9,$C172)*F172),IF((INDEX(Routes!$M$6:$M$9,$C172)*INDEX(Routes!$Y$6:$Y$9,$C172)*F172)&lt;=3,2+0.9*((INDEX(Routes!$M$6:$M$9,$C172)*INDEX(Routes!$Y$6:$Y$9,$C172)*F172)-2),IF((INDEX(Routes!$M$6:$M$9,$C172)*INDEX(Routes!$Y$6:$Y$9,$C172)*F172)&lt;=4,2.9+0.75*((INDEX(Routes!$M$6:$M$9,$C172)*INDEX(Routes!$Y$6:$Y$9,$C172)*F172)-3),IF((INDEX(Routes!$M$6:$M$9,$C172)*INDEX(Routes!$Y$6:$Y$9,$C172)*F172)&lt;=5,3.65+0.6*((INDEX(Routes!$M$6:$M$9,$C172)*INDEX(Routes!$Y$6:$Y$9,$C172)*F172)-4),4.25+0.5*((INDEX(Routes!$M$6:$M$9,$C172)*INDEX(Routes!$Y$6:$Y$9,$C172)*F172)-5)))))</f>
        <v>0</v>
      </c>
    </row>
    <row r="173" customFormat="false" ht="15" hidden="false" customHeight="false" outlineLevel="0" collapsed="false">
      <c r="A173" s="2" t="s">
        <v>669</v>
      </c>
      <c r="B173" s="2" t="s">
        <v>630</v>
      </c>
      <c r="C173" s="16" t="n">
        <f aca="false">Sw_Route</f>
        <v>1</v>
      </c>
      <c r="D173" s="70" t="n">
        <v>100</v>
      </c>
      <c r="E173" s="92" t="n">
        <v>1.3</v>
      </c>
      <c r="F173" s="88" t="n">
        <f aca="false">PortMult</f>
        <v>1</v>
      </c>
      <c r="G173" s="89" t="n">
        <f aca="false">UtilFH</f>
        <v>0.85</v>
      </c>
      <c r="H173" s="89" t="n">
        <f aca="false">UtilBH</f>
        <v>0.5</v>
      </c>
      <c r="I173" s="90" t="n">
        <f aca="false">Speed</f>
        <v>13.5</v>
      </c>
      <c r="J173" s="88" t="n">
        <f aca="false">PortCostMult</f>
        <v>1</v>
      </c>
      <c r="K173" s="90" t="n">
        <f aca="false">EUA</f>
        <v>75</v>
      </c>
      <c r="L173" s="71" t="n">
        <f aca="false">INDEX(Routes!$E$6:$E$9,$C173)</f>
        <v>5000</v>
      </c>
      <c r="M173" s="72" t="n">
        <f aca="false">INDEX(Routes!$F$6:$F$9,$C173)/L173</f>
        <v>0.13</v>
      </c>
      <c r="N173" s="77" t="n">
        <f aca="false">2*L173*(1+SeaMargin)/(I173*24)</f>
        <v>32.4074074074074</v>
      </c>
      <c r="O173" s="84" t="n">
        <f aca="false">(I173/RefSpeed)^SpeedExp</f>
        <v>1</v>
      </c>
      <c r="P173" s="2" t="n">
        <f aca="false">IF(H173&gt;0,1,0)</f>
        <v>1</v>
      </c>
      <c r="Q173" s="71" t="n">
        <f aca="false">N173/2*O173*(ConsLaden+IF(P173=1,ConsLaden,ConsBallast))</f>
        <v>875</v>
      </c>
      <c r="R173" s="71" t="n">
        <f aca="false">Q173*(1-M173)</f>
        <v>761.25</v>
      </c>
      <c r="S173" s="71" t="n">
        <f aca="false">Q173*M173</f>
        <v>113.75</v>
      </c>
      <c r="T173" s="2" t="n">
        <f aca="false">1+P173</f>
        <v>2</v>
      </c>
      <c r="U173" s="77" t="n">
        <f aca="false">INDEX(Routes!$L$6:$L$9,$C173)*T173*F173</f>
        <v>10</v>
      </c>
      <c r="V173" s="77" t="n">
        <f aca="false">INDEX(Routes!$M$6:$M$9,$C173)*T173*F173</f>
        <v>7</v>
      </c>
      <c r="W173" s="77" t="n">
        <f aca="false">INDEX(Routes!$H$6:$H$9,$C173)*2</f>
        <v>0</v>
      </c>
      <c r="X173" s="71" t="n">
        <f aca="false">(U173+V173+W173)*ConsPort</f>
        <v>102</v>
      </c>
      <c r="Y173" s="67" t="n">
        <f aca="false">R173*D173*VLSFO_Mult+(S173+X173)*D173*MGO_Mult</f>
        <v>795440</v>
      </c>
      <c r="Z173" s="67" t="n">
        <f aca="false">(INDEX(Routes!$N$6:$N$9,$C173)+AN173+MIN(AC173*INDEX(Routes!$T$6:$T$9,$C173),INDEX(Routes!$V$6:$V$9,$C173))+INDEX(Routes!$O$6:$O$9,$C173)+AO173+MIN(AC173*INDEX(Routes!$U$6:$U$9,$C173),INDEX(Routes!$W$6:$W$9,$C173))+IF(P173=1,INDEX(Routes!$N$6:$N$9,$C173)+AN173+MIN(AD173*INDEX(Routes!$T$6:$T$9,$C173),INDEX(Routes!$V$6:$V$9,$C173))+INDEX(Routes!$O$6:$O$9,$C173)+AO173+MIN(AD173*INDEX(Routes!$U$6:$U$9,$C173),INDEX(Routes!$W$6:$W$9,$C173)),0))*J173</f>
        <v>252304.2096</v>
      </c>
      <c r="AA173" s="67" t="n">
        <f aca="false">INDEX(Routes!$R$6:$R$9,$C173)+IF(P173=1,INDEX(Routes!$R$6:$R$9,$C173),INDEX(Routes!$S$6:$S$9,$C173))</f>
        <v>0</v>
      </c>
      <c r="AB173" s="67" t="n">
        <f aca="false">((R173*CO2_VLSFO+S173*CO2_MGO)*INDEX(Routes!$I$6:$I$9,$C173)+(U173*INDEX(Routes!$P$6:$P$9,$C173)+V173*INDEX(Routes!$Q$6:$Q$9,$C173))*ConsPort*CO2_MGO)*PhaseIn*K173*FX</f>
        <v>123936.40875</v>
      </c>
      <c r="AC173" s="71" t="n">
        <f aca="false">Capacity*G173</f>
        <v>30600</v>
      </c>
      <c r="AD173" s="71" t="n">
        <f aca="false">Capacity*H173</f>
        <v>18000</v>
      </c>
      <c r="AE173" s="82" t="n">
        <f aca="false">INDEX(Routes!$J$6:$J$9,$C173)*E173</f>
        <v>67.6</v>
      </c>
      <c r="AF173" s="82" t="n">
        <f aca="false">INDEX(Routes!$K$6:$K$9,$C173)*E173</f>
        <v>49.4</v>
      </c>
      <c r="AG173" s="67" t="n">
        <f aca="false">AC173*AE173+AD173*AF173</f>
        <v>2957760</v>
      </c>
      <c r="AH173" s="67" t="n">
        <f aca="false">AG173*Commission</f>
        <v>73944</v>
      </c>
      <c r="AI173" s="67" t="n">
        <f aca="false">Y173+Z173+AA173+AB173+MiscVoy</f>
        <v>1196680.61835</v>
      </c>
      <c r="AJ173" s="77" t="n">
        <f aca="false">N173+U173+V173+W173</f>
        <v>49.4074074074074</v>
      </c>
      <c r="AK173" s="94" t="n">
        <f aca="false">(AG173-AH173-AI173)/AJ173</f>
        <v>34147.4177695277</v>
      </c>
      <c r="AL173" s="67" t="n">
        <f aca="false">AG173-AH173-AI173-Benchmark*AJ173</f>
        <v>797802.048316667</v>
      </c>
      <c r="AM173" s="82" t="n">
        <f aca="false">IF(AC173&gt;0,((Benchmark*AJ173+AI173)/(1-Commission)-AD173*AF173)/AC173,0)</f>
        <v>40.8595257812413</v>
      </c>
      <c r="AN173" s="67" t="n">
        <f aca="false">LOA_ft*Port_Tariffs!$C$9*IF((INDEX(Routes!$L$6:$L$9,$C173)*INDEX(Routes!$X$6:$X$9,$C173)*F173)&lt;=2,(INDEX(Routes!$L$6:$L$9,$C173)*INDEX(Routes!$X$6:$X$9,$C173)*F173),IF((INDEX(Routes!$L$6:$L$9,$C173)*INDEX(Routes!$X$6:$X$9,$C173)*F173)&lt;=3,2+0.9*((INDEX(Routes!$L$6:$L$9,$C173)*INDEX(Routes!$X$6:$X$9,$C173)*F173)-2),IF((INDEX(Routes!$L$6:$L$9,$C173)*INDEX(Routes!$X$6:$X$9,$C173)*F173)&lt;=4,2.9+0.75*((INDEX(Routes!$L$6:$L$9,$C173)*INDEX(Routes!$X$6:$X$9,$C173)*F173)-3),IF((INDEX(Routes!$L$6:$L$9,$C173)*INDEX(Routes!$X$6:$X$9,$C173)*F173)&lt;=5,3.65+0.6*((INDEX(Routes!$L$6:$L$9,$C173)*INDEX(Routes!$X$6:$X$9,$C173)*F173)-4),4.25+0.5*((INDEX(Routes!$L$6:$L$9,$C173)*INDEX(Routes!$X$6:$X$9,$C173)*F173)-5)))))</f>
        <v>19557.6</v>
      </c>
      <c r="AO173" s="67" t="n">
        <f aca="false">LOA_ft*Port_Tariffs!$C$9*IF((INDEX(Routes!$M$6:$M$9,$C173)*INDEX(Routes!$Y$6:$Y$9,$C173)*F173)&lt;=2,(INDEX(Routes!$M$6:$M$9,$C173)*INDEX(Routes!$Y$6:$Y$9,$C173)*F173),IF((INDEX(Routes!$M$6:$M$9,$C173)*INDEX(Routes!$Y$6:$Y$9,$C173)*F173)&lt;=3,2+0.9*((INDEX(Routes!$M$6:$M$9,$C173)*INDEX(Routes!$Y$6:$Y$9,$C173)*F173)-2),IF((INDEX(Routes!$M$6:$M$9,$C173)*INDEX(Routes!$Y$6:$Y$9,$C173)*F173)&lt;=4,2.9+0.75*((INDEX(Routes!$M$6:$M$9,$C173)*INDEX(Routes!$Y$6:$Y$9,$C173)*F173)-3),IF((INDEX(Routes!$M$6:$M$9,$C173)*INDEX(Routes!$Y$6:$Y$9,$C173)*F173)&lt;=5,3.65+0.6*((INDEX(Routes!$M$6:$M$9,$C173)*INDEX(Routes!$Y$6:$Y$9,$C173)*F173)-4),4.25+0.5*((INDEX(Routes!$M$6:$M$9,$C173)*INDEX(Routes!$Y$6:$Y$9,$C173)*F173)-5)))))</f>
        <v>0</v>
      </c>
    </row>
    <row r="174" customFormat="false" ht="15" hidden="false" customHeight="false" outlineLevel="0" collapsed="false">
      <c r="A174" s="2" t="s">
        <v>670</v>
      </c>
      <c r="B174" s="2" t="s">
        <v>630</v>
      </c>
      <c r="C174" s="16" t="n">
        <f aca="false">Sw_Route</f>
        <v>1</v>
      </c>
      <c r="D174" s="70" t="n">
        <v>110</v>
      </c>
      <c r="E174" s="92" t="n">
        <v>1.3</v>
      </c>
      <c r="F174" s="88" t="n">
        <f aca="false">PortMult</f>
        <v>1</v>
      </c>
      <c r="G174" s="89" t="n">
        <f aca="false">UtilFH</f>
        <v>0.85</v>
      </c>
      <c r="H174" s="89" t="n">
        <f aca="false">UtilBH</f>
        <v>0.5</v>
      </c>
      <c r="I174" s="90" t="n">
        <f aca="false">Speed</f>
        <v>13.5</v>
      </c>
      <c r="J174" s="88" t="n">
        <f aca="false">PortCostMult</f>
        <v>1</v>
      </c>
      <c r="K174" s="90" t="n">
        <f aca="false">EUA</f>
        <v>75</v>
      </c>
      <c r="L174" s="71" t="n">
        <f aca="false">INDEX(Routes!$E$6:$E$9,$C174)</f>
        <v>5000</v>
      </c>
      <c r="M174" s="72" t="n">
        <f aca="false">INDEX(Routes!$F$6:$F$9,$C174)/L174</f>
        <v>0.13</v>
      </c>
      <c r="N174" s="77" t="n">
        <f aca="false">2*L174*(1+SeaMargin)/(I174*24)</f>
        <v>32.4074074074074</v>
      </c>
      <c r="O174" s="84" t="n">
        <f aca="false">(I174/RefSpeed)^SpeedExp</f>
        <v>1</v>
      </c>
      <c r="P174" s="2" t="n">
        <f aca="false">IF(H174&gt;0,1,0)</f>
        <v>1</v>
      </c>
      <c r="Q174" s="71" t="n">
        <f aca="false">N174/2*O174*(ConsLaden+IF(P174=1,ConsLaden,ConsBallast))</f>
        <v>875</v>
      </c>
      <c r="R174" s="71" t="n">
        <f aca="false">Q174*(1-M174)</f>
        <v>761.25</v>
      </c>
      <c r="S174" s="71" t="n">
        <f aca="false">Q174*M174</f>
        <v>113.75</v>
      </c>
      <c r="T174" s="2" t="n">
        <f aca="false">1+P174</f>
        <v>2</v>
      </c>
      <c r="U174" s="77" t="n">
        <f aca="false">INDEX(Routes!$L$6:$L$9,$C174)*T174*F174</f>
        <v>10</v>
      </c>
      <c r="V174" s="77" t="n">
        <f aca="false">INDEX(Routes!$M$6:$M$9,$C174)*T174*F174</f>
        <v>7</v>
      </c>
      <c r="W174" s="77" t="n">
        <f aca="false">INDEX(Routes!$H$6:$H$9,$C174)*2</f>
        <v>0</v>
      </c>
      <c r="X174" s="71" t="n">
        <f aca="false">(U174+V174+W174)*ConsPort</f>
        <v>102</v>
      </c>
      <c r="Y174" s="67" t="n">
        <f aca="false">R174*D174*VLSFO_Mult+(S174+X174)*D174*MGO_Mult</f>
        <v>874984</v>
      </c>
      <c r="Z174" s="67" t="n">
        <f aca="false">(INDEX(Routes!$N$6:$N$9,$C174)+AN174+MIN(AC174*INDEX(Routes!$T$6:$T$9,$C174),INDEX(Routes!$V$6:$V$9,$C174))+INDEX(Routes!$O$6:$O$9,$C174)+AO174+MIN(AC174*INDEX(Routes!$U$6:$U$9,$C174),INDEX(Routes!$W$6:$W$9,$C174))+IF(P174=1,INDEX(Routes!$N$6:$N$9,$C174)+AN174+MIN(AD174*INDEX(Routes!$T$6:$T$9,$C174),INDEX(Routes!$V$6:$V$9,$C174))+INDEX(Routes!$O$6:$O$9,$C174)+AO174+MIN(AD174*INDEX(Routes!$U$6:$U$9,$C174),INDEX(Routes!$W$6:$W$9,$C174)),0))*J174</f>
        <v>252304.2096</v>
      </c>
      <c r="AA174" s="67" t="n">
        <f aca="false">INDEX(Routes!$R$6:$R$9,$C174)+IF(P174=1,INDEX(Routes!$R$6:$R$9,$C174),INDEX(Routes!$S$6:$S$9,$C174))</f>
        <v>0</v>
      </c>
      <c r="AB174" s="67" t="n">
        <f aca="false">((R174*CO2_VLSFO+S174*CO2_MGO)*INDEX(Routes!$I$6:$I$9,$C174)+(U174*INDEX(Routes!$P$6:$P$9,$C174)+V174*INDEX(Routes!$Q$6:$Q$9,$C174))*ConsPort*CO2_MGO)*PhaseIn*K174*FX</f>
        <v>123936.40875</v>
      </c>
      <c r="AC174" s="71" t="n">
        <f aca="false">Capacity*G174</f>
        <v>30600</v>
      </c>
      <c r="AD174" s="71" t="n">
        <f aca="false">Capacity*H174</f>
        <v>18000</v>
      </c>
      <c r="AE174" s="82" t="n">
        <f aca="false">INDEX(Routes!$J$6:$J$9,$C174)*E174</f>
        <v>67.6</v>
      </c>
      <c r="AF174" s="82" t="n">
        <f aca="false">INDEX(Routes!$K$6:$K$9,$C174)*E174</f>
        <v>49.4</v>
      </c>
      <c r="AG174" s="67" t="n">
        <f aca="false">AC174*AE174+AD174*AF174</f>
        <v>2957760</v>
      </c>
      <c r="AH174" s="67" t="n">
        <f aca="false">AG174*Commission</f>
        <v>73944</v>
      </c>
      <c r="AI174" s="67" t="n">
        <f aca="false">Y174+Z174+AA174+AB174+MiscVoy</f>
        <v>1276224.61835</v>
      </c>
      <c r="AJ174" s="77" t="n">
        <f aca="false">N174+U174+V174+W174</f>
        <v>49.4074074074074</v>
      </c>
      <c r="AK174" s="94" t="n">
        <f aca="false">(AG174-AH174-AI174)/AJ174</f>
        <v>32537.4567500375</v>
      </c>
      <c r="AL174" s="67" t="n">
        <f aca="false">AG174-AH174-AI174-Benchmark*AJ174</f>
        <v>718258.048316667</v>
      </c>
      <c r="AM174" s="82" t="n">
        <f aca="false">IF(AC174&gt;0,((Benchmark*AJ174+AI174)/(1-Commission)-AD174*AF174)/AC174,0)</f>
        <v>43.5256561650187</v>
      </c>
      <c r="AN174" s="67" t="n">
        <f aca="false">LOA_ft*Port_Tariffs!$C$9*IF((INDEX(Routes!$L$6:$L$9,$C174)*INDEX(Routes!$X$6:$X$9,$C174)*F174)&lt;=2,(INDEX(Routes!$L$6:$L$9,$C174)*INDEX(Routes!$X$6:$X$9,$C174)*F174),IF((INDEX(Routes!$L$6:$L$9,$C174)*INDEX(Routes!$X$6:$X$9,$C174)*F174)&lt;=3,2+0.9*((INDEX(Routes!$L$6:$L$9,$C174)*INDEX(Routes!$X$6:$X$9,$C174)*F174)-2),IF((INDEX(Routes!$L$6:$L$9,$C174)*INDEX(Routes!$X$6:$X$9,$C174)*F174)&lt;=4,2.9+0.75*((INDEX(Routes!$L$6:$L$9,$C174)*INDEX(Routes!$X$6:$X$9,$C174)*F174)-3),IF((INDEX(Routes!$L$6:$L$9,$C174)*INDEX(Routes!$X$6:$X$9,$C174)*F174)&lt;=5,3.65+0.6*((INDEX(Routes!$L$6:$L$9,$C174)*INDEX(Routes!$X$6:$X$9,$C174)*F174)-4),4.25+0.5*((INDEX(Routes!$L$6:$L$9,$C174)*INDEX(Routes!$X$6:$X$9,$C174)*F174)-5)))))</f>
        <v>19557.6</v>
      </c>
      <c r="AO174" s="67" t="n">
        <f aca="false">LOA_ft*Port_Tariffs!$C$9*IF((INDEX(Routes!$M$6:$M$9,$C174)*INDEX(Routes!$Y$6:$Y$9,$C174)*F174)&lt;=2,(INDEX(Routes!$M$6:$M$9,$C174)*INDEX(Routes!$Y$6:$Y$9,$C174)*F174),IF((INDEX(Routes!$M$6:$M$9,$C174)*INDEX(Routes!$Y$6:$Y$9,$C174)*F174)&lt;=3,2+0.9*((INDEX(Routes!$M$6:$M$9,$C174)*INDEX(Routes!$Y$6:$Y$9,$C174)*F174)-2),IF((INDEX(Routes!$M$6:$M$9,$C174)*INDEX(Routes!$Y$6:$Y$9,$C174)*F174)&lt;=4,2.9+0.75*((INDEX(Routes!$M$6:$M$9,$C174)*INDEX(Routes!$Y$6:$Y$9,$C174)*F174)-3),IF((INDEX(Routes!$M$6:$M$9,$C174)*INDEX(Routes!$Y$6:$Y$9,$C174)*F174)&lt;=5,3.65+0.6*((INDEX(Routes!$M$6:$M$9,$C174)*INDEX(Routes!$Y$6:$Y$9,$C174)*F174)-4),4.25+0.5*((INDEX(Routes!$M$6:$M$9,$C174)*INDEX(Routes!$Y$6:$Y$9,$C174)*F174)-5)))))</f>
        <v>0</v>
      </c>
    </row>
    <row r="175" customFormat="false" ht="15" hidden="false" customHeight="false" outlineLevel="0" collapsed="false">
      <c r="A175" s="2" t="s">
        <v>671</v>
      </c>
      <c r="B175" s="2" t="s">
        <v>630</v>
      </c>
      <c r="C175" s="16" t="n">
        <f aca="false">Sw_Route</f>
        <v>1</v>
      </c>
      <c r="D175" s="70" t="n">
        <v>120</v>
      </c>
      <c r="E175" s="92" t="n">
        <v>1.3</v>
      </c>
      <c r="F175" s="88" t="n">
        <f aca="false">PortMult</f>
        <v>1</v>
      </c>
      <c r="G175" s="89" t="n">
        <f aca="false">UtilFH</f>
        <v>0.85</v>
      </c>
      <c r="H175" s="89" t="n">
        <f aca="false">UtilBH</f>
        <v>0.5</v>
      </c>
      <c r="I175" s="90" t="n">
        <f aca="false">Speed</f>
        <v>13.5</v>
      </c>
      <c r="J175" s="88" t="n">
        <f aca="false">PortCostMult</f>
        <v>1</v>
      </c>
      <c r="K175" s="90" t="n">
        <f aca="false">EUA</f>
        <v>75</v>
      </c>
      <c r="L175" s="71" t="n">
        <f aca="false">INDEX(Routes!$E$6:$E$9,$C175)</f>
        <v>5000</v>
      </c>
      <c r="M175" s="72" t="n">
        <f aca="false">INDEX(Routes!$F$6:$F$9,$C175)/L175</f>
        <v>0.13</v>
      </c>
      <c r="N175" s="77" t="n">
        <f aca="false">2*L175*(1+SeaMargin)/(I175*24)</f>
        <v>32.4074074074074</v>
      </c>
      <c r="O175" s="84" t="n">
        <f aca="false">(I175/RefSpeed)^SpeedExp</f>
        <v>1</v>
      </c>
      <c r="P175" s="2" t="n">
        <f aca="false">IF(H175&gt;0,1,0)</f>
        <v>1</v>
      </c>
      <c r="Q175" s="71" t="n">
        <f aca="false">N175/2*O175*(ConsLaden+IF(P175=1,ConsLaden,ConsBallast))</f>
        <v>875</v>
      </c>
      <c r="R175" s="71" t="n">
        <f aca="false">Q175*(1-M175)</f>
        <v>761.25</v>
      </c>
      <c r="S175" s="71" t="n">
        <f aca="false">Q175*M175</f>
        <v>113.75</v>
      </c>
      <c r="T175" s="2" t="n">
        <f aca="false">1+P175</f>
        <v>2</v>
      </c>
      <c r="U175" s="77" t="n">
        <f aca="false">INDEX(Routes!$L$6:$L$9,$C175)*T175*F175</f>
        <v>10</v>
      </c>
      <c r="V175" s="77" t="n">
        <f aca="false">INDEX(Routes!$M$6:$M$9,$C175)*T175*F175</f>
        <v>7</v>
      </c>
      <c r="W175" s="77" t="n">
        <f aca="false">INDEX(Routes!$H$6:$H$9,$C175)*2</f>
        <v>0</v>
      </c>
      <c r="X175" s="71" t="n">
        <f aca="false">(U175+V175+W175)*ConsPort</f>
        <v>102</v>
      </c>
      <c r="Y175" s="67" t="n">
        <f aca="false">R175*D175*VLSFO_Mult+(S175+X175)*D175*MGO_Mult</f>
        <v>954528</v>
      </c>
      <c r="Z175" s="67" t="n">
        <f aca="false">(INDEX(Routes!$N$6:$N$9,$C175)+AN175+MIN(AC175*INDEX(Routes!$T$6:$T$9,$C175),INDEX(Routes!$V$6:$V$9,$C175))+INDEX(Routes!$O$6:$O$9,$C175)+AO175+MIN(AC175*INDEX(Routes!$U$6:$U$9,$C175),INDEX(Routes!$W$6:$W$9,$C175))+IF(P175=1,INDEX(Routes!$N$6:$N$9,$C175)+AN175+MIN(AD175*INDEX(Routes!$T$6:$T$9,$C175),INDEX(Routes!$V$6:$V$9,$C175))+INDEX(Routes!$O$6:$O$9,$C175)+AO175+MIN(AD175*INDEX(Routes!$U$6:$U$9,$C175),INDEX(Routes!$W$6:$W$9,$C175)),0))*J175</f>
        <v>252304.2096</v>
      </c>
      <c r="AA175" s="67" t="n">
        <f aca="false">INDEX(Routes!$R$6:$R$9,$C175)+IF(P175=1,INDEX(Routes!$R$6:$R$9,$C175),INDEX(Routes!$S$6:$S$9,$C175))</f>
        <v>0</v>
      </c>
      <c r="AB175" s="67" t="n">
        <f aca="false">((R175*CO2_VLSFO+S175*CO2_MGO)*INDEX(Routes!$I$6:$I$9,$C175)+(U175*INDEX(Routes!$P$6:$P$9,$C175)+V175*INDEX(Routes!$Q$6:$Q$9,$C175))*ConsPort*CO2_MGO)*PhaseIn*K175*FX</f>
        <v>123936.40875</v>
      </c>
      <c r="AC175" s="71" t="n">
        <f aca="false">Capacity*G175</f>
        <v>30600</v>
      </c>
      <c r="AD175" s="71" t="n">
        <f aca="false">Capacity*H175</f>
        <v>18000</v>
      </c>
      <c r="AE175" s="82" t="n">
        <f aca="false">INDEX(Routes!$J$6:$J$9,$C175)*E175</f>
        <v>67.6</v>
      </c>
      <c r="AF175" s="82" t="n">
        <f aca="false">INDEX(Routes!$K$6:$K$9,$C175)*E175</f>
        <v>49.4</v>
      </c>
      <c r="AG175" s="67" t="n">
        <f aca="false">AC175*AE175+AD175*AF175</f>
        <v>2957760</v>
      </c>
      <c r="AH175" s="67" t="n">
        <f aca="false">AG175*Commission</f>
        <v>73944</v>
      </c>
      <c r="AI175" s="67" t="n">
        <f aca="false">Y175+Z175+AA175+AB175+MiscVoy</f>
        <v>1355768.61835</v>
      </c>
      <c r="AJ175" s="77" t="n">
        <f aca="false">N175+U175+V175+W175</f>
        <v>49.4074074074074</v>
      </c>
      <c r="AK175" s="94" t="n">
        <f aca="false">(AG175-AH175-AI175)/AJ175</f>
        <v>30927.4957305472</v>
      </c>
      <c r="AL175" s="67" t="n">
        <f aca="false">AG175-AH175-AI175-Benchmark*AJ175</f>
        <v>638714.048316667</v>
      </c>
      <c r="AM175" s="82" t="n">
        <f aca="false">IF(AC175&gt;0,((Benchmark*AJ175+AI175)/(1-Commission)-AD175*AF175)/AC175,0)</f>
        <v>46.1917865487961</v>
      </c>
      <c r="AN175" s="67" t="n">
        <f aca="false">LOA_ft*Port_Tariffs!$C$9*IF((INDEX(Routes!$L$6:$L$9,$C175)*INDEX(Routes!$X$6:$X$9,$C175)*F175)&lt;=2,(INDEX(Routes!$L$6:$L$9,$C175)*INDEX(Routes!$X$6:$X$9,$C175)*F175),IF((INDEX(Routes!$L$6:$L$9,$C175)*INDEX(Routes!$X$6:$X$9,$C175)*F175)&lt;=3,2+0.9*((INDEX(Routes!$L$6:$L$9,$C175)*INDEX(Routes!$X$6:$X$9,$C175)*F175)-2),IF((INDEX(Routes!$L$6:$L$9,$C175)*INDEX(Routes!$X$6:$X$9,$C175)*F175)&lt;=4,2.9+0.75*((INDEX(Routes!$L$6:$L$9,$C175)*INDEX(Routes!$X$6:$X$9,$C175)*F175)-3),IF((INDEX(Routes!$L$6:$L$9,$C175)*INDEX(Routes!$X$6:$X$9,$C175)*F175)&lt;=5,3.65+0.6*((INDEX(Routes!$L$6:$L$9,$C175)*INDEX(Routes!$X$6:$X$9,$C175)*F175)-4),4.25+0.5*((INDEX(Routes!$L$6:$L$9,$C175)*INDEX(Routes!$X$6:$X$9,$C175)*F175)-5)))))</f>
        <v>19557.6</v>
      </c>
      <c r="AO175" s="67" t="n">
        <f aca="false">LOA_ft*Port_Tariffs!$C$9*IF((INDEX(Routes!$M$6:$M$9,$C175)*INDEX(Routes!$Y$6:$Y$9,$C175)*F175)&lt;=2,(INDEX(Routes!$M$6:$M$9,$C175)*INDEX(Routes!$Y$6:$Y$9,$C175)*F175),IF((INDEX(Routes!$M$6:$M$9,$C175)*INDEX(Routes!$Y$6:$Y$9,$C175)*F175)&lt;=3,2+0.9*((INDEX(Routes!$M$6:$M$9,$C175)*INDEX(Routes!$Y$6:$Y$9,$C175)*F175)-2),IF((INDEX(Routes!$M$6:$M$9,$C175)*INDEX(Routes!$Y$6:$Y$9,$C175)*F175)&lt;=4,2.9+0.75*((INDEX(Routes!$M$6:$M$9,$C175)*INDEX(Routes!$Y$6:$Y$9,$C175)*F175)-3),IF((INDEX(Routes!$M$6:$M$9,$C175)*INDEX(Routes!$Y$6:$Y$9,$C175)*F175)&lt;=5,3.65+0.6*((INDEX(Routes!$M$6:$M$9,$C175)*INDEX(Routes!$Y$6:$Y$9,$C175)*F175)-4),4.25+0.5*((INDEX(Routes!$M$6:$M$9,$C175)*INDEX(Routes!$Y$6:$Y$9,$C175)*F175)-5)))))</f>
        <v>0</v>
      </c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customFormat="false" ht="15" hidden="false" customHeight="false" outlineLevel="0" collapsed="false">
      <c r="A177" s="18" t="s">
        <v>672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customFormat="false" ht="15" hidden="false" customHeight="false" outlineLevel="0" collapsed="false">
      <c r="A178" s="2" t="s">
        <v>673</v>
      </c>
      <c r="B178" s="2" t="s">
        <v>674</v>
      </c>
      <c r="C178" s="16" t="n">
        <f aca="false">Sw_Route</f>
        <v>1</v>
      </c>
      <c r="D178" s="70" t="n">
        <v>65</v>
      </c>
      <c r="E178" s="88" t="n">
        <f aca="false">FreightMult</f>
        <v>1</v>
      </c>
      <c r="F178" s="88" t="n">
        <f aca="false">PortMult</f>
        <v>1</v>
      </c>
      <c r="G178" s="89" t="n">
        <f aca="false">UtilFH</f>
        <v>0.85</v>
      </c>
      <c r="H178" s="89" t="n">
        <f aca="false">UtilBH</f>
        <v>0.5</v>
      </c>
      <c r="I178" s="95" t="n">
        <v>10</v>
      </c>
      <c r="J178" s="88" t="n">
        <f aca="false">PortCostMult</f>
        <v>1</v>
      </c>
      <c r="K178" s="90" t="n">
        <f aca="false">EUA</f>
        <v>75</v>
      </c>
      <c r="L178" s="71" t="n">
        <f aca="false">INDEX(Routes!$E$6:$E$9,$C178)</f>
        <v>5000</v>
      </c>
      <c r="M178" s="72" t="n">
        <f aca="false">INDEX(Routes!$F$6:$F$9,$C178)/L178</f>
        <v>0.13</v>
      </c>
      <c r="N178" s="77" t="n">
        <f aca="false">2*L178*(1+SeaMargin)/(I178*24)</f>
        <v>43.75</v>
      </c>
      <c r="O178" s="84" t="n">
        <f aca="false">(I178/RefSpeed)^SpeedExp</f>
        <v>0.406442107402327</v>
      </c>
      <c r="P178" s="2" t="n">
        <f aca="false">IF(H178&gt;0,1,0)</f>
        <v>1</v>
      </c>
      <c r="Q178" s="71" t="n">
        <f aca="false">N178/2*O178*(ConsLaden+IF(P178=1,ConsLaden,ConsBallast))</f>
        <v>480.109739368999</v>
      </c>
      <c r="R178" s="71" t="n">
        <f aca="false">Q178*(1-M178)</f>
        <v>417.695473251029</v>
      </c>
      <c r="S178" s="71" t="n">
        <f aca="false">Q178*M178</f>
        <v>62.4142661179698</v>
      </c>
      <c r="T178" s="2" t="n">
        <f aca="false">1+P178</f>
        <v>2</v>
      </c>
      <c r="U178" s="77" t="n">
        <f aca="false">INDEX(Routes!$L$6:$L$9,$C178)*T178*F178</f>
        <v>10</v>
      </c>
      <c r="V178" s="77" t="n">
        <f aca="false">INDEX(Routes!$M$6:$M$9,$C178)*T178*F178</f>
        <v>7</v>
      </c>
      <c r="W178" s="77" t="n">
        <f aca="false">INDEX(Routes!$H$6:$H$9,$C178)*2</f>
        <v>0</v>
      </c>
      <c r="X178" s="71" t="n">
        <f aca="false">(U178+V178+W178)*ConsPort</f>
        <v>102</v>
      </c>
      <c r="Y178" s="67" t="n">
        <f aca="false">R178*D178*VLSFO_Mult+(S178+X178)*D178*MGO_Mult</f>
        <v>312719.77914952</v>
      </c>
      <c r="Z178" s="67" t="n">
        <f aca="false">(INDEX(Routes!$N$6:$N$9,$C178)+AN178+MIN(AC178*INDEX(Routes!$T$6:$T$9,$C178),INDEX(Routes!$V$6:$V$9,$C178))+INDEX(Routes!$O$6:$O$9,$C178)+AO178+MIN(AC178*INDEX(Routes!$U$6:$U$9,$C178),INDEX(Routes!$W$6:$W$9,$C178))+IF(P178=1,INDEX(Routes!$N$6:$N$9,$C178)+AN178+MIN(AD178*INDEX(Routes!$T$6:$T$9,$C178),INDEX(Routes!$V$6:$V$9,$C178))+INDEX(Routes!$O$6:$O$9,$C178)+AO178+MIN(AD178*INDEX(Routes!$U$6:$U$9,$C178),INDEX(Routes!$W$6:$W$9,$C178)),0))*J178</f>
        <v>252304.2096</v>
      </c>
      <c r="AA178" s="67" t="n">
        <f aca="false">INDEX(Routes!$R$6:$R$9,$C178)+IF(P178=1,INDEX(Routes!$R$6:$R$9,$C178),INDEX(Routes!$S$6:$S$9,$C178))</f>
        <v>0</v>
      </c>
      <c r="AB178" s="67" t="n">
        <f aca="false">((R178*CO2_VLSFO+S178*CO2_MGO)*INDEX(Routes!$I$6:$I$9,$C178)+(U178*INDEX(Routes!$P$6:$P$9,$C178)+V178*INDEX(Routes!$Q$6:$Q$9,$C178))*ConsPort*CO2_MGO)*PhaseIn*K178*FX</f>
        <v>73016.948436214</v>
      </c>
      <c r="AC178" s="71" t="n">
        <f aca="false">Capacity*G178</f>
        <v>30600</v>
      </c>
      <c r="AD178" s="71" t="n">
        <f aca="false">Capacity*H178</f>
        <v>18000</v>
      </c>
      <c r="AE178" s="82" t="n">
        <f aca="false">INDEX(Routes!$J$6:$J$9,$C178)*E178</f>
        <v>52</v>
      </c>
      <c r="AF178" s="82" t="n">
        <f aca="false">INDEX(Routes!$K$6:$K$9,$C178)*E178</f>
        <v>38</v>
      </c>
      <c r="AG178" s="67" t="n">
        <f aca="false">AC178*AE178+AD178*AF178</f>
        <v>2275200</v>
      </c>
      <c r="AH178" s="67" t="n">
        <f aca="false">AG178*Commission</f>
        <v>56880</v>
      </c>
      <c r="AI178" s="67" t="n">
        <f aca="false">Y178+Z178+AA178+AB178+MiscVoy</f>
        <v>663040.937185734</v>
      </c>
      <c r="AJ178" s="77" t="n">
        <f aca="false">N178+U178+V178+W178</f>
        <v>60.75</v>
      </c>
      <c r="AK178" s="94" t="n">
        <f aca="false">(AG178-AH178-AI178)/AJ178</f>
        <v>25601.3014455023</v>
      </c>
      <c r="AL178" s="67" t="n">
        <f aca="false">AG178-AH178-AI178-Benchmark*AJ178</f>
        <v>461779.062814266</v>
      </c>
      <c r="AM178" s="82" t="n">
        <f aca="false">IF(AC178&gt;0,((Benchmark*AJ178+AI178)/(1-Commission)-AD178*AF178)/AC178,0)</f>
        <v>36.522236875674</v>
      </c>
      <c r="AN178" s="67" t="n">
        <f aca="false">LOA_ft*Port_Tariffs!$C$9*IF((INDEX(Routes!$L$6:$L$9,$C178)*INDEX(Routes!$X$6:$X$9,$C178)*F178)&lt;=2,(INDEX(Routes!$L$6:$L$9,$C178)*INDEX(Routes!$X$6:$X$9,$C178)*F178),IF((INDEX(Routes!$L$6:$L$9,$C178)*INDEX(Routes!$X$6:$X$9,$C178)*F178)&lt;=3,2+0.9*((INDEX(Routes!$L$6:$L$9,$C178)*INDEX(Routes!$X$6:$X$9,$C178)*F178)-2),IF((INDEX(Routes!$L$6:$L$9,$C178)*INDEX(Routes!$X$6:$X$9,$C178)*F178)&lt;=4,2.9+0.75*((INDEX(Routes!$L$6:$L$9,$C178)*INDEX(Routes!$X$6:$X$9,$C178)*F178)-3),IF((INDEX(Routes!$L$6:$L$9,$C178)*INDEX(Routes!$X$6:$X$9,$C178)*F178)&lt;=5,3.65+0.6*((INDEX(Routes!$L$6:$L$9,$C178)*INDEX(Routes!$X$6:$X$9,$C178)*F178)-4),4.25+0.5*((INDEX(Routes!$L$6:$L$9,$C178)*INDEX(Routes!$X$6:$X$9,$C178)*F178)-5)))))</f>
        <v>19557.6</v>
      </c>
      <c r="AO178" s="67" t="n">
        <f aca="false">LOA_ft*Port_Tariffs!$C$9*IF((INDEX(Routes!$M$6:$M$9,$C178)*INDEX(Routes!$Y$6:$Y$9,$C178)*F178)&lt;=2,(INDEX(Routes!$M$6:$M$9,$C178)*INDEX(Routes!$Y$6:$Y$9,$C178)*F178),IF((INDEX(Routes!$M$6:$M$9,$C178)*INDEX(Routes!$Y$6:$Y$9,$C178)*F178)&lt;=3,2+0.9*((INDEX(Routes!$M$6:$M$9,$C178)*INDEX(Routes!$Y$6:$Y$9,$C178)*F178)-2),IF((INDEX(Routes!$M$6:$M$9,$C178)*INDEX(Routes!$Y$6:$Y$9,$C178)*F178)&lt;=4,2.9+0.75*((INDEX(Routes!$M$6:$M$9,$C178)*INDEX(Routes!$Y$6:$Y$9,$C178)*F178)-3),IF((INDEX(Routes!$M$6:$M$9,$C178)*INDEX(Routes!$Y$6:$Y$9,$C178)*F178)&lt;=5,3.65+0.6*((INDEX(Routes!$M$6:$M$9,$C178)*INDEX(Routes!$Y$6:$Y$9,$C178)*F178)-4),4.25+0.5*((INDEX(Routes!$M$6:$M$9,$C178)*INDEX(Routes!$Y$6:$Y$9,$C178)*F178)-5)))))</f>
        <v>0</v>
      </c>
    </row>
    <row r="179" customFormat="false" ht="15" hidden="false" customHeight="false" outlineLevel="0" collapsed="false">
      <c r="A179" s="2" t="s">
        <v>675</v>
      </c>
      <c r="B179" s="2" t="s">
        <v>674</v>
      </c>
      <c r="C179" s="16" t="n">
        <f aca="false">Sw_Route</f>
        <v>1</v>
      </c>
      <c r="D179" s="70" t="n">
        <v>65</v>
      </c>
      <c r="E179" s="88" t="n">
        <f aca="false">FreightMult</f>
        <v>1</v>
      </c>
      <c r="F179" s="88" t="n">
        <f aca="false">PortMult</f>
        <v>1</v>
      </c>
      <c r="G179" s="89" t="n">
        <f aca="false">UtilFH</f>
        <v>0.85</v>
      </c>
      <c r="H179" s="89" t="n">
        <f aca="false">UtilBH</f>
        <v>0.5</v>
      </c>
      <c r="I179" s="95" t="n">
        <v>10.5</v>
      </c>
      <c r="J179" s="88" t="n">
        <f aca="false">PortCostMult</f>
        <v>1</v>
      </c>
      <c r="K179" s="90" t="n">
        <f aca="false">EUA</f>
        <v>75</v>
      </c>
      <c r="L179" s="71" t="n">
        <f aca="false">INDEX(Routes!$E$6:$E$9,$C179)</f>
        <v>5000</v>
      </c>
      <c r="M179" s="72" t="n">
        <f aca="false">INDEX(Routes!$F$6:$F$9,$C179)/L179</f>
        <v>0.13</v>
      </c>
      <c r="N179" s="77" t="n">
        <f aca="false">2*L179*(1+SeaMargin)/(I179*24)</f>
        <v>41.6666666666667</v>
      </c>
      <c r="O179" s="84" t="n">
        <f aca="false">(I179/RefSpeed)^SpeedExp</f>
        <v>0.470507544581619</v>
      </c>
      <c r="P179" s="2" t="n">
        <f aca="false">IF(H179&gt;0,1,0)</f>
        <v>1</v>
      </c>
      <c r="Q179" s="71" t="n">
        <f aca="false">N179/2*O179*(ConsLaden+IF(P179=1,ConsLaden,ConsBallast))</f>
        <v>529.320987654321</v>
      </c>
      <c r="R179" s="71" t="n">
        <f aca="false">Q179*(1-M179)</f>
        <v>460.509259259259</v>
      </c>
      <c r="S179" s="71" t="n">
        <f aca="false">Q179*M179</f>
        <v>68.8117283950617</v>
      </c>
      <c r="T179" s="2" t="n">
        <f aca="false">1+P179</f>
        <v>2</v>
      </c>
      <c r="U179" s="77" t="n">
        <f aca="false">INDEX(Routes!$L$6:$L$9,$C179)*T179*F179</f>
        <v>10</v>
      </c>
      <c r="V179" s="77" t="n">
        <f aca="false">INDEX(Routes!$M$6:$M$9,$C179)*T179*F179</f>
        <v>7</v>
      </c>
      <c r="W179" s="77" t="n">
        <f aca="false">INDEX(Routes!$H$6:$H$9,$C179)*2</f>
        <v>0</v>
      </c>
      <c r="X179" s="71" t="n">
        <f aca="false">(U179+V179+W179)*ConsPort</f>
        <v>102</v>
      </c>
      <c r="Y179" s="67" t="n">
        <f aca="false">R179*D179*VLSFO_Mult+(S179+X179)*D179*MGO_Mult</f>
        <v>338181.679012346</v>
      </c>
      <c r="Z179" s="67" t="n">
        <f aca="false">(INDEX(Routes!$N$6:$N$9,$C179)+AN179+MIN(AC179*INDEX(Routes!$T$6:$T$9,$C179),INDEX(Routes!$V$6:$V$9,$C179))+INDEX(Routes!$O$6:$O$9,$C179)+AO179+MIN(AC179*INDEX(Routes!$U$6:$U$9,$C179),INDEX(Routes!$W$6:$W$9,$C179))+IF(P179=1,INDEX(Routes!$N$6:$N$9,$C179)+AN179+MIN(AD179*INDEX(Routes!$T$6:$T$9,$C179),INDEX(Routes!$V$6:$V$9,$C179))+INDEX(Routes!$O$6:$O$9,$C179)+AO179+MIN(AD179*INDEX(Routes!$U$6:$U$9,$C179),INDEX(Routes!$W$6:$W$9,$C179)),0))*J179</f>
        <v>252304.2096</v>
      </c>
      <c r="AA179" s="67" t="n">
        <f aca="false">INDEX(Routes!$R$6:$R$9,$C179)+IF(P179=1,INDEX(Routes!$R$6:$R$9,$C179),INDEX(Routes!$S$6:$S$9,$C179))</f>
        <v>0</v>
      </c>
      <c r="AB179" s="67" t="n">
        <f aca="false">((R179*CO2_VLSFO+S179*CO2_MGO)*INDEX(Routes!$I$6:$I$9,$C179)+(U179*INDEX(Routes!$P$6:$P$9,$C179)+V179*INDEX(Routes!$Q$6:$Q$9,$C179))*ConsPort*CO2_MGO)*PhaseIn*K179*FX</f>
        <v>79362.5346759259</v>
      </c>
      <c r="AC179" s="71" t="n">
        <f aca="false">Capacity*G179</f>
        <v>30600</v>
      </c>
      <c r="AD179" s="71" t="n">
        <f aca="false">Capacity*H179</f>
        <v>18000</v>
      </c>
      <c r="AE179" s="82" t="n">
        <f aca="false">INDEX(Routes!$J$6:$J$9,$C179)*E179</f>
        <v>52</v>
      </c>
      <c r="AF179" s="82" t="n">
        <f aca="false">INDEX(Routes!$K$6:$K$9,$C179)*E179</f>
        <v>38</v>
      </c>
      <c r="AG179" s="67" t="n">
        <f aca="false">AC179*AE179+AD179*AF179</f>
        <v>2275200</v>
      </c>
      <c r="AH179" s="67" t="n">
        <f aca="false">AG179*Commission</f>
        <v>56880</v>
      </c>
      <c r="AI179" s="67" t="n">
        <f aca="false">Y179+Z179+AA179+AB179+MiscVoy</f>
        <v>694848.423288272</v>
      </c>
      <c r="AJ179" s="77" t="n">
        <f aca="false">N179+U179+V179+W179</f>
        <v>58.6666666666667</v>
      </c>
      <c r="AK179" s="94" t="n">
        <f aca="false">(AG179-AH179-AI179)/AJ179</f>
        <v>25968.2655121317</v>
      </c>
      <c r="AL179" s="67" t="n">
        <f aca="false">AG179-AH179-AI179-Benchmark*AJ179</f>
        <v>467471.576711728</v>
      </c>
      <c r="AM179" s="82" t="n">
        <f aca="false">IF(AC179&gt;0,((Benchmark*AJ179+AI179)/(1-Commission)-AD179*AF179)/AC179,0)</f>
        <v>36.3314370131816</v>
      </c>
      <c r="AN179" s="67" t="n">
        <f aca="false">LOA_ft*Port_Tariffs!$C$9*IF((INDEX(Routes!$L$6:$L$9,$C179)*INDEX(Routes!$X$6:$X$9,$C179)*F179)&lt;=2,(INDEX(Routes!$L$6:$L$9,$C179)*INDEX(Routes!$X$6:$X$9,$C179)*F179),IF((INDEX(Routes!$L$6:$L$9,$C179)*INDEX(Routes!$X$6:$X$9,$C179)*F179)&lt;=3,2+0.9*((INDEX(Routes!$L$6:$L$9,$C179)*INDEX(Routes!$X$6:$X$9,$C179)*F179)-2),IF((INDEX(Routes!$L$6:$L$9,$C179)*INDEX(Routes!$X$6:$X$9,$C179)*F179)&lt;=4,2.9+0.75*((INDEX(Routes!$L$6:$L$9,$C179)*INDEX(Routes!$X$6:$X$9,$C179)*F179)-3),IF((INDEX(Routes!$L$6:$L$9,$C179)*INDEX(Routes!$X$6:$X$9,$C179)*F179)&lt;=5,3.65+0.6*((INDEX(Routes!$L$6:$L$9,$C179)*INDEX(Routes!$X$6:$X$9,$C179)*F179)-4),4.25+0.5*((INDEX(Routes!$L$6:$L$9,$C179)*INDEX(Routes!$X$6:$X$9,$C179)*F179)-5)))))</f>
        <v>19557.6</v>
      </c>
      <c r="AO179" s="67" t="n">
        <f aca="false">LOA_ft*Port_Tariffs!$C$9*IF((INDEX(Routes!$M$6:$M$9,$C179)*INDEX(Routes!$Y$6:$Y$9,$C179)*F179)&lt;=2,(INDEX(Routes!$M$6:$M$9,$C179)*INDEX(Routes!$Y$6:$Y$9,$C179)*F179),IF((INDEX(Routes!$M$6:$M$9,$C179)*INDEX(Routes!$Y$6:$Y$9,$C179)*F179)&lt;=3,2+0.9*((INDEX(Routes!$M$6:$M$9,$C179)*INDEX(Routes!$Y$6:$Y$9,$C179)*F179)-2),IF((INDEX(Routes!$M$6:$M$9,$C179)*INDEX(Routes!$Y$6:$Y$9,$C179)*F179)&lt;=4,2.9+0.75*((INDEX(Routes!$M$6:$M$9,$C179)*INDEX(Routes!$Y$6:$Y$9,$C179)*F179)-3),IF((INDEX(Routes!$M$6:$M$9,$C179)*INDEX(Routes!$Y$6:$Y$9,$C179)*F179)&lt;=5,3.65+0.6*((INDEX(Routes!$M$6:$M$9,$C179)*INDEX(Routes!$Y$6:$Y$9,$C179)*F179)-4),4.25+0.5*((INDEX(Routes!$M$6:$M$9,$C179)*INDEX(Routes!$Y$6:$Y$9,$C179)*F179)-5)))))</f>
        <v>0</v>
      </c>
    </row>
    <row r="180" customFormat="false" ht="15" hidden="false" customHeight="false" outlineLevel="0" collapsed="false">
      <c r="A180" s="2" t="s">
        <v>676</v>
      </c>
      <c r="B180" s="2" t="s">
        <v>674</v>
      </c>
      <c r="C180" s="16" t="n">
        <f aca="false">Sw_Route</f>
        <v>1</v>
      </c>
      <c r="D180" s="70" t="n">
        <v>65</v>
      </c>
      <c r="E180" s="88" t="n">
        <f aca="false">FreightMult</f>
        <v>1</v>
      </c>
      <c r="F180" s="88" t="n">
        <f aca="false">PortMult</f>
        <v>1</v>
      </c>
      <c r="G180" s="89" t="n">
        <f aca="false">UtilFH</f>
        <v>0.85</v>
      </c>
      <c r="H180" s="89" t="n">
        <f aca="false">UtilBH</f>
        <v>0.5</v>
      </c>
      <c r="I180" s="95" t="n">
        <v>11</v>
      </c>
      <c r="J180" s="88" t="n">
        <f aca="false">PortCostMult</f>
        <v>1</v>
      </c>
      <c r="K180" s="90" t="n">
        <f aca="false">EUA</f>
        <v>75</v>
      </c>
      <c r="L180" s="71" t="n">
        <f aca="false">INDEX(Routes!$E$6:$E$9,$C180)</f>
        <v>5000</v>
      </c>
      <c r="M180" s="72" t="n">
        <f aca="false">INDEX(Routes!$F$6:$F$9,$C180)/L180</f>
        <v>0.13</v>
      </c>
      <c r="N180" s="77" t="n">
        <f aca="false">2*L180*(1+SeaMargin)/(I180*24)</f>
        <v>39.7727272727273</v>
      </c>
      <c r="O180" s="84" t="n">
        <f aca="false">(I180/RefSpeed)^SpeedExp</f>
        <v>0.540974444952497</v>
      </c>
      <c r="P180" s="2" t="n">
        <f aca="false">IF(H180&gt;0,1,0)</f>
        <v>1</v>
      </c>
      <c r="Q180" s="71" t="n">
        <f aca="false">N180/2*O180*(ConsLaden+IF(P180=1,ConsLaden,ConsBallast))</f>
        <v>580.932784636488</v>
      </c>
      <c r="R180" s="71" t="n">
        <f aca="false">Q180*(1-M180)</f>
        <v>505.411522633745</v>
      </c>
      <c r="S180" s="71" t="n">
        <f aca="false">Q180*M180</f>
        <v>75.5212620027435</v>
      </c>
      <c r="T180" s="2" t="n">
        <f aca="false">1+P180</f>
        <v>2</v>
      </c>
      <c r="U180" s="77" t="n">
        <f aca="false">INDEX(Routes!$L$6:$L$9,$C180)*T180*F180</f>
        <v>10</v>
      </c>
      <c r="V180" s="77" t="n">
        <f aca="false">INDEX(Routes!$M$6:$M$9,$C180)*T180*F180</f>
        <v>7</v>
      </c>
      <c r="W180" s="77" t="n">
        <f aca="false">INDEX(Routes!$H$6:$H$9,$C180)*2</f>
        <v>0</v>
      </c>
      <c r="X180" s="71" t="n">
        <f aca="false">(U180+V180+W180)*ConsPort</f>
        <v>102</v>
      </c>
      <c r="Y180" s="67" t="n">
        <f aca="false">R180*D180*VLSFO_Mult+(S180+X180)*D180*MGO_Mult</f>
        <v>364885.622770919</v>
      </c>
      <c r="Z180" s="67" t="n">
        <f aca="false">(INDEX(Routes!$N$6:$N$9,$C180)+AN180+MIN(AC180*INDEX(Routes!$T$6:$T$9,$C180),INDEX(Routes!$V$6:$V$9,$C180))+INDEX(Routes!$O$6:$O$9,$C180)+AO180+MIN(AC180*INDEX(Routes!$U$6:$U$9,$C180),INDEX(Routes!$W$6:$W$9,$C180))+IF(P180=1,INDEX(Routes!$N$6:$N$9,$C180)+AN180+MIN(AD180*INDEX(Routes!$T$6:$T$9,$C180),INDEX(Routes!$V$6:$V$9,$C180))+INDEX(Routes!$O$6:$O$9,$C180)+AO180+MIN(AD180*INDEX(Routes!$U$6:$U$9,$C180),INDEX(Routes!$W$6:$W$9,$C180)),0))*J180</f>
        <v>252304.2096</v>
      </c>
      <c r="AA180" s="67" t="n">
        <f aca="false">INDEX(Routes!$R$6:$R$9,$C180)+IF(P180=1,INDEX(Routes!$R$6:$R$9,$C180),INDEX(Routes!$S$6:$S$9,$C180))</f>
        <v>0</v>
      </c>
      <c r="AB180" s="67" t="n">
        <f aca="false">((R180*CO2_VLSFO+S180*CO2_MGO)*INDEX(Routes!$I$6:$I$9,$C180)+(U180*INDEX(Routes!$P$6:$P$9,$C180)+V180*INDEX(Routes!$Q$6:$Q$9,$C180))*ConsPort*CO2_MGO)*PhaseIn*K180*FX</f>
        <v>86017.6617078189</v>
      </c>
      <c r="AC180" s="71" t="n">
        <f aca="false">Capacity*G180</f>
        <v>30600</v>
      </c>
      <c r="AD180" s="71" t="n">
        <f aca="false">Capacity*H180</f>
        <v>18000</v>
      </c>
      <c r="AE180" s="82" t="n">
        <f aca="false">INDEX(Routes!$J$6:$J$9,$C180)*E180</f>
        <v>52</v>
      </c>
      <c r="AF180" s="82" t="n">
        <f aca="false">INDEX(Routes!$K$6:$K$9,$C180)*E180</f>
        <v>38</v>
      </c>
      <c r="AG180" s="67" t="n">
        <f aca="false">AC180*AE180+AD180*AF180</f>
        <v>2275200</v>
      </c>
      <c r="AH180" s="67" t="n">
        <f aca="false">AG180*Commission</f>
        <v>56880</v>
      </c>
      <c r="AI180" s="67" t="n">
        <f aca="false">Y180+Z180+AA180+AB180+MiscVoy</f>
        <v>728207.494078738</v>
      </c>
      <c r="AJ180" s="77" t="n">
        <f aca="false">N180+U180+V180+W180</f>
        <v>56.7727272727273</v>
      </c>
      <c r="AK180" s="94" t="n">
        <f aca="false">(AG180-AH180-AI180)/AJ180</f>
        <v>26246.9776863633</v>
      </c>
      <c r="AL180" s="67" t="n">
        <f aca="false">AG180-AH180-AI180-Benchmark*AJ180</f>
        <v>468203.415012171</v>
      </c>
      <c r="AM180" s="82" t="n">
        <f aca="false">IF(AC180&gt;0,((Benchmark*AJ180+AI180)/(1-Commission)-AD180*AF180)/AC180,0)</f>
        <v>36.3069074907937</v>
      </c>
      <c r="AN180" s="67" t="n">
        <f aca="false">LOA_ft*Port_Tariffs!$C$9*IF((INDEX(Routes!$L$6:$L$9,$C180)*INDEX(Routes!$X$6:$X$9,$C180)*F180)&lt;=2,(INDEX(Routes!$L$6:$L$9,$C180)*INDEX(Routes!$X$6:$X$9,$C180)*F180),IF((INDEX(Routes!$L$6:$L$9,$C180)*INDEX(Routes!$X$6:$X$9,$C180)*F180)&lt;=3,2+0.9*((INDEX(Routes!$L$6:$L$9,$C180)*INDEX(Routes!$X$6:$X$9,$C180)*F180)-2),IF((INDEX(Routes!$L$6:$L$9,$C180)*INDEX(Routes!$X$6:$X$9,$C180)*F180)&lt;=4,2.9+0.75*((INDEX(Routes!$L$6:$L$9,$C180)*INDEX(Routes!$X$6:$X$9,$C180)*F180)-3),IF((INDEX(Routes!$L$6:$L$9,$C180)*INDEX(Routes!$X$6:$X$9,$C180)*F180)&lt;=5,3.65+0.6*((INDEX(Routes!$L$6:$L$9,$C180)*INDEX(Routes!$X$6:$X$9,$C180)*F180)-4),4.25+0.5*((INDEX(Routes!$L$6:$L$9,$C180)*INDEX(Routes!$X$6:$X$9,$C180)*F180)-5)))))</f>
        <v>19557.6</v>
      </c>
      <c r="AO180" s="67" t="n">
        <f aca="false">LOA_ft*Port_Tariffs!$C$9*IF((INDEX(Routes!$M$6:$M$9,$C180)*INDEX(Routes!$Y$6:$Y$9,$C180)*F180)&lt;=2,(INDEX(Routes!$M$6:$M$9,$C180)*INDEX(Routes!$Y$6:$Y$9,$C180)*F180),IF((INDEX(Routes!$M$6:$M$9,$C180)*INDEX(Routes!$Y$6:$Y$9,$C180)*F180)&lt;=3,2+0.9*((INDEX(Routes!$M$6:$M$9,$C180)*INDEX(Routes!$Y$6:$Y$9,$C180)*F180)-2),IF((INDEX(Routes!$M$6:$M$9,$C180)*INDEX(Routes!$Y$6:$Y$9,$C180)*F180)&lt;=4,2.9+0.75*((INDEX(Routes!$M$6:$M$9,$C180)*INDEX(Routes!$Y$6:$Y$9,$C180)*F180)-3),IF((INDEX(Routes!$M$6:$M$9,$C180)*INDEX(Routes!$Y$6:$Y$9,$C180)*F180)&lt;=5,3.65+0.6*((INDEX(Routes!$M$6:$M$9,$C180)*INDEX(Routes!$Y$6:$Y$9,$C180)*F180)-4),4.25+0.5*((INDEX(Routes!$M$6:$M$9,$C180)*INDEX(Routes!$Y$6:$Y$9,$C180)*F180)-5)))))</f>
        <v>0</v>
      </c>
    </row>
    <row r="181" customFormat="false" ht="15" hidden="false" customHeight="false" outlineLevel="0" collapsed="false">
      <c r="A181" s="2" t="s">
        <v>677</v>
      </c>
      <c r="B181" s="2" t="s">
        <v>674</v>
      </c>
      <c r="C181" s="16" t="n">
        <f aca="false">Sw_Route</f>
        <v>1</v>
      </c>
      <c r="D181" s="70" t="n">
        <v>65</v>
      </c>
      <c r="E181" s="88" t="n">
        <f aca="false">FreightMult</f>
        <v>1</v>
      </c>
      <c r="F181" s="88" t="n">
        <f aca="false">PortMult</f>
        <v>1</v>
      </c>
      <c r="G181" s="89" t="n">
        <f aca="false">UtilFH</f>
        <v>0.85</v>
      </c>
      <c r="H181" s="89" t="n">
        <f aca="false">UtilBH</f>
        <v>0.5</v>
      </c>
      <c r="I181" s="95" t="n">
        <v>11.5</v>
      </c>
      <c r="J181" s="88" t="n">
        <f aca="false">PortCostMult</f>
        <v>1</v>
      </c>
      <c r="K181" s="90" t="n">
        <f aca="false">EUA</f>
        <v>75</v>
      </c>
      <c r="L181" s="71" t="n">
        <f aca="false">INDEX(Routes!$E$6:$E$9,$C181)</f>
        <v>5000</v>
      </c>
      <c r="M181" s="72" t="n">
        <f aca="false">INDEX(Routes!$F$6:$F$9,$C181)/L181</f>
        <v>0.13</v>
      </c>
      <c r="N181" s="77" t="n">
        <f aca="false">2*L181*(1+SeaMargin)/(I181*24)</f>
        <v>38.0434782608696</v>
      </c>
      <c r="O181" s="84" t="n">
        <f aca="false">(I181/RefSpeed)^SpeedExp</f>
        <v>0.618147640095514</v>
      </c>
      <c r="P181" s="2" t="n">
        <f aca="false">IF(H181&gt;0,1,0)</f>
        <v>1</v>
      </c>
      <c r="Q181" s="71" t="n">
        <f aca="false">N181/2*O181*(ConsLaden+IF(P181=1,ConsLaden,ConsBallast))</f>
        <v>634.945130315501</v>
      </c>
      <c r="R181" s="71" t="n">
        <f aca="false">Q181*(1-M181)</f>
        <v>552.402263374486</v>
      </c>
      <c r="S181" s="71" t="n">
        <f aca="false">Q181*M181</f>
        <v>82.5428669410151</v>
      </c>
      <c r="T181" s="2" t="n">
        <f aca="false">1+P181</f>
        <v>2</v>
      </c>
      <c r="U181" s="77" t="n">
        <f aca="false">INDEX(Routes!$L$6:$L$9,$C181)*T181*F181</f>
        <v>10</v>
      </c>
      <c r="V181" s="77" t="n">
        <f aca="false">INDEX(Routes!$M$6:$M$9,$C181)*T181*F181</f>
        <v>7</v>
      </c>
      <c r="W181" s="77" t="n">
        <f aca="false">INDEX(Routes!$H$6:$H$9,$C181)*2</f>
        <v>0</v>
      </c>
      <c r="X181" s="71" t="n">
        <f aca="false">(U181+V181+W181)*ConsPort</f>
        <v>102</v>
      </c>
      <c r="Y181" s="67" t="n">
        <f aca="false">R181*D181*VLSFO_Mult+(S181+X181)*D181*MGO_Mult</f>
        <v>392831.61042524</v>
      </c>
      <c r="Z181" s="67" t="n">
        <f aca="false">(INDEX(Routes!$N$6:$N$9,$C181)+AN181+MIN(AC181*INDEX(Routes!$T$6:$T$9,$C181),INDEX(Routes!$V$6:$V$9,$C181))+INDEX(Routes!$O$6:$O$9,$C181)+AO181+MIN(AC181*INDEX(Routes!$U$6:$U$9,$C181),INDEX(Routes!$W$6:$W$9,$C181))+IF(P181=1,INDEX(Routes!$N$6:$N$9,$C181)+AN181+MIN(AD181*INDEX(Routes!$T$6:$T$9,$C181),INDEX(Routes!$V$6:$V$9,$C181))+INDEX(Routes!$O$6:$O$9,$C181)+AO181+MIN(AD181*INDEX(Routes!$U$6:$U$9,$C181),INDEX(Routes!$W$6:$W$9,$C181)),0))*J181</f>
        <v>252304.2096</v>
      </c>
      <c r="AA181" s="67" t="n">
        <f aca="false">INDEX(Routes!$R$6:$R$9,$C181)+IF(P181=1,INDEX(Routes!$R$6:$R$9,$C181),INDEX(Routes!$S$6:$S$9,$C181))</f>
        <v>0</v>
      </c>
      <c r="AB181" s="67" t="n">
        <f aca="false">((R181*CO2_VLSFO+S181*CO2_MGO)*INDEX(Routes!$I$6:$I$9,$C181)+(U181*INDEX(Routes!$P$6:$P$9,$C181)+V181*INDEX(Routes!$Q$6:$Q$9,$C181))*ConsPort*CO2_MGO)*PhaseIn*K181*FX</f>
        <v>92982.329531893</v>
      </c>
      <c r="AC181" s="71" t="n">
        <f aca="false">Capacity*G181</f>
        <v>30600</v>
      </c>
      <c r="AD181" s="71" t="n">
        <f aca="false">Capacity*H181</f>
        <v>18000</v>
      </c>
      <c r="AE181" s="82" t="n">
        <f aca="false">INDEX(Routes!$J$6:$J$9,$C181)*E181</f>
        <v>52</v>
      </c>
      <c r="AF181" s="82" t="n">
        <f aca="false">INDEX(Routes!$K$6:$K$9,$C181)*E181</f>
        <v>38</v>
      </c>
      <c r="AG181" s="67" t="n">
        <f aca="false">AC181*AE181+AD181*AF181</f>
        <v>2275200</v>
      </c>
      <c r="AH181" s="67" t="n">
        <f aca="false">AG181*Commission</f>
        <v>56880</v>
      </c>
      <c r="AI181" s="67" t="n">
        <f aca="false">Y181+Z181+AA181+AB181+MiscVoy</f>
        <v>763118.149557133</v>
      </c>
      <c r="AJ181" s="77" t="n">
        <f aca="false">N181+U181+V181+W181</f>
        <v>55.0434782608696</v>
      </c>
      <c r="AK181" s="94" t="n">
        <f aca="false">(AG181-AH181-AI181)/AJ181</f>
        <v>26437.3163982511</v>
      </c>
      <c r="AL181" s="67" t="n">
        <f aca="false">AG181-AH181-AI181-Benchmark*AJ181</f>
        <v>464419.241747215</v>
      </c>
      <c r="AM181" s="82" t="n">
        <f aca="false">IF(AC181&gt;0,((Benchmark*AJ181+AI181)/(1-Commission)-AD181*AF181)/AC181,0)</f>
        <v>36.4337442015346</v>
      </c>
      <c r="AN181" s="67" t="n">
        <f aca="false">LOA_ft*Port_Tariffs!$C$9*IF((INDEX(Routes!$L$6:$L$9,$C181)*INDEX(Routes!$X$6:$X$9,$C181)*F181)&lt;=2,(INDEX(Routes!$L$6:$L$9,$C181)*INDEX(Routes!$X$6:$X$9,$C181)*F181),IF((INDEX(Routes!$L$6:$L$9,$C181)*INDEX(Routes!$X$6:$X$9,$C181)*F181)&lt;=3,2+0.9*((INDEX(Routes!$L$6:$L$9,$C181)*INDEX(Routes!$X$6:$X$9,$C181)*F181)-2),IF((INDEX(Routes!$L$6:$L$9,$C181)*INDEX(Routes!$X$6:$X$9,$C181)*F181)&lt;=4,2.9+0.75*((INDEX(Routes!$L$6:$L$9,$C181)*INDEX(Routes!$X$6:$X$9,$C181)*F181)-3),IF((INDEX(Routes!$L$6:$L$9,$C181)*INDEX(Routes!$X$6:$X$9,$C181)*F181)&lt;=5,3.65+0.6*((INDEX(Routes!$L$6:$L$9,$C181)*INDEX(Routes!$X$6:$X$9,$C181)*F181)-4),4.25+0.5*((INDEX(Routes!$L$6:$L$9,$C181)*INDEX(Routes!$X$6:$X$9,$C181)*F181)-5)))))</f>
        <v>19557.6</v>
      </c>
      <c r="AO181" s="67" t="n">
        <f aca="false">LOA_ft*Port_Tariffs!$C$9*IF((INDEX(Routes!$M$6:$M$9,$C181)*INDEX(Routes!$Y$6:$Y$9,$C181)*F181)&lt;=2,(INDEX(Routes!$M$6:$M$9,$C181)*INDEX(Routes!$Y$6:$Y$9,$C181)*F181),IF((INDEX(Routes!$M$6:$M$9,$C181)*INDEX(Routes!$Y$6:$Y$9,$C181)*F181)&lt;=3,2+0.9*((INDEX(Routes!$M$6:$M$9,$C181)*INDEX(Routes!$Y$6:$Y$9,$C181)*F181)-2),IF((INDEX(Routes!$M$6:$M$9,$C181)*INDEX(Routes!$Y$6:$Y$9,$C181)*F181)&lt;=4,2.9+0.75*((INDEX(Routes!$M$6:$M$9,$C181)*INDEX(Routes!$Y$6:$Y$9,$C181)*F181)-3),IF((INDEX(Routes!$M$6:$M$9,$C181)*INDEX(Routes!$Y$6:$Y$9,$C181)*F181)&lt;=5,3.65+0.6*((INDEX(Routes!$M$6:$M$9,$C181)*INDEX(Routes!$Y$6:$Y$9,$C181)*F181)-4),4.25+0.5*((INDEX(Routes!$M$6:$M$9,$C181)*INDEX(Routes!$Y$6:$Y$9,$C181)*F181)-5)))))</f>
        <v>0</v>
      </c>
    </row>
    <row r="182" customFormat="false" ht="15" hidden="false" customHeight="false" outlineLevel="0" collapsed="false">
      <c r="A182" s="2" t="s">
        <v>678</v>
      </c>
      <c r="B182" s="2" t="s">
        <v>674</v>
      </c>
      <c r="C182" s="16" t="n">
        <f aca="false">Sw_Route</f>
        <v>1</v>
      </c>
      <c r="D182" s="70" t="n">
        <v>65</v>
      </c>
      <c r="E182" s="88" t="n">
        <f aca="false">FreightMult</f>
        <v>1</v>
      </c>
      <c r="F182" s="88" t="n">
        <f aca="false">PortMult</f>
        <v>1</v>
      </c>
      <c r="G182" s="89" t="n">
        <f aca="false">UtilFH</f>
        <v>0.85</v>
      </c>
      <c r="H182" s="89" t="n">
        <f aca="false">UtilBH</f>
        <v>0.5</v>
      </c>
      <c r="I182" s="95" t="n">
        <v>12</v>
      </c>
      <c r="J182" s="88" t="n">
        <f aca="false">PortCostMult</f>
        <v>1</v>
      </c>
      <c r="K182" s="90" t="n">
        <f aca="false">EUA</f>
        <v>75</v>
      </c>
      <c r="L182" s="71" t="n">
        <f aca="false">INDEX(Routes!$E$6:$E$9,$C182)</f>
        <v>5000</v>
      </c>
      <c r="M182" s="72" t="n">
        <f aca="false">INDEX(Routes!$F$6:$F$9,$C182)/L182</f>
        <v>0.13</v>
      </c>
      <c r="N182" s="77" t="n">
        <f aca="false">2*L182*(1+SeaMargin)/(I182*24)</f>
        <v>36.4583333333333</v>
      </c>
      <c r="O182" s="84" t="n">
        <f aca="false">(I182/RefSpeed)^SpeedExp</f>
        <v>0.702331961591221</v>
      </c>
      <c r="P182" s="2" t="n">
        <f aca="false">IF(H182&gt;0,1,0)</f>
        <v>1</v>
      </c>
      <c r="Q182" s="71" t="n">
        <f aca="false">N182/2*O182*(ConsLaden+IF(P182=1,ConsLaden,ConsBallast))</f>
        <v>691.358024691358</v>
      </c>
      <c r="R182" s="71" t="n">
        <f aca="false">Q182*(1-M182)</f>
        <v>601.481481481481</v>
      </c>
      <c r="S182" s="71" t="n">
        <f aca="false">Q182*M182</f>
        <v>89.8765432098765</v>
      </c>
      <c r="T182" s="2" t="n">
        <f aca="false">1+P182</f>
        <v>2</v>
      </c>
      <c r="U182" s="77" t="n">
        <f aca="false">INDEX(Routes!$L$6:$L$9,$C182)*T182*F182</f>
        <v>10</v>
      </c>
      <c r="V182" s="77" t="n">
        <f aca="false">INDEX(Routes!$M$6:$M$9,$C182)*T182*F182</f>
        <v>7</v>
      </c>
      <c r="W182" s="77" t="n">
        <f aca="false">INDEX(Routes!$H$6:$H$9,$C182)*2</f>
        <v>0</v>
      </c>
      <c r="X182" s="71" t="n">
        <f aca="false">(U182+V182+W182)*ConsPort</f>
        <v>102</v>
      </c>
      <c r="Y182" s="67" t="n">
        <f aca="false">R182*D182*VLSFO_Mult+(S182+X182)*D182*MGO_Mult</f>
        <v>422019.641975309</v>
      </c>
      <c r="Z182" s="67" t="n">
        <f aca="false">(INDEX(Routes!$N$6:$N$9,$C182)+AN182+MIN(AC182*INDEX(Routes!$T$6:$T$9,$C182),INDEX(Routes!$V$6:$V$9,$C182))+INDEX(Routes!$O$6:$O$9,$C182)+AO182+MIN(AC182*INDEX(Routes!$U$6:$U$9,$C182),INDEX(Routes!$W$6:$W$9,$C182))+IF(P182=1,INDEX(Routes!$N$6:$N$9,$C182)+AN182+MIN(AD182*INDEX(Routes!$T$6:$T$9,$C182),INDEX(Routes!$V$6:$V$9,$C182))+INDEX(Routes!$O$6:$O$9,$C182)+AO182+MIN(AD182*INDEX(Routes!$U$6:$U$9,$C182),INDEX(Routes!$W$6:$W$9,$C182)),0))*J182</f>
        <v>252304.2096</v>
      </c>
      <c r="AA182" s="67" t="n">
        <f aca="false">INDEX(Routes!$R$6:$R$9,$C182)+IF(P182=1,INDEX(Routes!$R$6:$R$9,$C182),INDEX(Routes!$S$6:$S$9,$C182))</f>
        <v>0</v>
      </c>
      <c r="AB182" s="67" t="n">
        <f aca="false">((R182*CO2_VLSFO+S182*CO2_MGO)*INDEX(Routes!$I$6:$I$9,$C182)+(U182*INDEX(Routes!$P$6:$P$9,$C182)+V182*INDEX(Routes!$Q$6:$Q$9,$C182))*ConsPort*CO2_MGO)*PhaseIn*K182*FX</f>
        <v>100256.538148148</v>
      </c>
      <c r="AC182" s="71" t="n">
        <f aca="false">Capacity*G182</f>
        <v>30600</v>
      </c>
      <c r="AD182" s="71" t="n">
        <f aca="false">Capacity*H182</f>
        <v>18000</v>
      </c>
      <c r="AE182" s="82" t="n">
        <f aca="false">INDEX(Routes!$J$6:$J$9,$C182)*E182</f>
        <v>52</v>
      </c>
      <c r="AF182" s="82" t="n">
        <f aca="false">INDEX(Routes!$K$6:$K$9,$C182)*E182</f>
        <v>38</v>
      </c>
      <c r="AG182" s="67" t="n">
        <f aca="false">AC182*AE182+AD182*AF182</f>
        <v>2275200</v>
      </c>
      <c r="AH182" s="67" t="n">
        <f aca="false">AG182*Commission</f>
        <v>56880</v>
      </c>
      <c r="AI182" s="67" t="n">
        <f aca="false">Y182+Z182+AA182+AB182+MiscVoy</f>
        <v>799580.389723457</v>
      </c>
      <c r="AJ182" s="77" t="n">
        <f aca="false">N182+U182+V182+W182</f>
        <v>53.4583333333333</v>
      </c>
      <c r="AK182" s="94" t="n">
        <f aca="false">(AG182-AH182-AI182)/AJ182</f>
        <v>26539.1665211512</v>
      </c>
      <c r="AL182" s="67" t="n">
        <f aca="false">AG182-AH182-AI182-Benchmark*AJ182</f>
        <v>456489.610276543</v>
      </c>
      <c r="AM182" s="82" t="n">
        <f aca="false">IF(AC182&gt;0,((Benchmark*AJ182+AI182)/(1-Commission)-AD182*AF182)/AC182,0)</f>
        <v>36.699527056258</v>
      </c>
      <c r="AN182" s="67" t="n">
        <f aca="false">LOA_ft*Port_Tariffs!$C$9*IF((INDEX(Routes!$L$6:$L$9,$C182)*INDEX(Routes!$X$6:$X$9,$C182)*F182)&lt;=2,(INDEX(Routes!$L$6:$L$9,$C182)*INDEX(Routes!$X$6:$X$9,$C182)*F182),IF((INDEX(Routes!$L$6:$L$9,$C182)*INDEX(Routes!$X$6:$X$9,$C182)*F182)&lt;=3,2+0.9*((INDEX(Routes!$L$6:$L$9,$C182)*INDEX(Routes!$X$6:$X$9,$C182)*F182)-2),IF((INDEX(Routes!$L$6:$L$9,$C182)*INDEX(Routes!$X$6:$X$9,$C182)*F182)&lt;=4,2.9+0.75*((INDEX(Routes!$L$6:$L$9,$C182)*INDEX(Routes!$X$6:$X$9,$C182)*F182)-3),IF((INDEX(Routes!$L$6:$L$9,$C182)*INDEX(Routes!$X$6:$X$9,$C182)*F182)&lt;=5,3.65+0.6*((INDEX(Routes!$L$6:$L$9,$C182)*INDEX(Routes!$X$6:$X$9,$C182)*F182)-4),4.25+0.5*((INDEX(Routes!$L$6:$L$9,$C182)*INDEX(Routes!$X$6:$X$9,$C182)*F182)-5)))))</f>
        <v>19557.6</v>
      </c>
      <c r="AO182" s="67" t="n">
        <f aca="false">LOA_ft*Port_Tariffs!$C$9*IF((INDEX(Routes!$M$6:$M$9,$C182)*INDEX(Routes!$Y$6:$Y$9,$C182)*F182)&lt;=2,(INDEX(Routes!$M$6:$M$9,$C182)*INDEX(Routes!$Y$6:$Y$9,$C182)*F182),IF((INDEX(Routes!$M$6:$M$9,$C182)*INDEX(Routes!$Y$6:$Y$9,$C182)*F182)&lt;=3,2+0.9*((INDEX(Routes!$M$6:$M$9,$C182)*INDEX(Routes!$Y$6:$Y$9,$C182)*F182)-2),IF((INDEX(Routes!$M$6:$M$9,$C182)*INDEX(Routes!$Y$6:$Y$9,$C182)*F182)&lt;=4,2.9+0.75*((INDEX(Routes!$M$6:$M$9,$C182)*INDEX(Routes!$Y$6:$Y$9,$C182)*F182)-3),IF((INDEX(Routes!$M$6:$M$9,$C182)*INDEX(Routes!$Y$6:$Y$9,$C182)*F182)&lt;=5,3.65+0.6*((INDEX(Routes!$M$6:$M$9,$C182)*INDEX(Routes!$Y$6:$Y$9,$C182)*F182)-4),4.25+0.5*((INDEX(Routes!$M$6:$M$9,$C182)*INDEX(Routes!$Y$6:$Y$9,$C182)*F182)-5)))))</f>
        <v>0</v>
      </c>
    </row>
    <row r="183" customFormat="false" ht="15" hidden="false" customHeight="false" outlineLevel="0" collapsed="false">
      <c r="A183" s="2" t="s">
        <v>679</v>
      </c>
      <c r="B183" s="2" t="s">
        <v>674</v>
      </c>
      <c r="C183" s="16" t="n">
        <f aca="false">Sw_Route</f>
        <v>1</v>
      </c>
      <c r="D183" s="70" t="n">
        <v>65</v>
      </c>
      <c r="E183" s="88" t="n">
        <f aca="false">FreightMult</f>
        <v>1</v>
      </c>
      <c r="F183" s="88" t="n">
        <f aca="false">PortMult</f>
        <v>1</v>
      </c>
      <c r="G183" s="89" t="n">
        <f aca="false">UtilFH</f>
        <v>0.85</v>
      </c>
      <c r="H183" s="89" t="n">
        <f aca="false">UtilBH</f>
        <v>0.5</v>
      </c>
      <c r="I183" s="95" t="n">
        <v>12.5</v>
      </c>
      <c r="J183" s="88" t="n">
        <f aca="false">PortCostMult</f>
        <v>1</v>
      </c>
      <c r="K183" s="90" t="n">
        <f aca="false">EUA</f>
        <v>75</v>
      </c>
      <c r="L183" s="71" t="n">
        <f aca="false">INDEX(Routes!$E$6:$E$9,$C183)</f>
        <v>5000</v>
      </c>
      <c r="M183" s="72" t="n">
        <f aca="false">INDEX(Routes!$F$6:$F$9,$C183)/L183</f>
        <v>0.13</v>
      </c>
      <c r="N183" s="77" t="n">
        <f aca="false">2*L183*(1+SeaMargin)/(I183*24)</f>
        <v>35</v>
      </c>
      <c r="O183" s="84" t="n">
        <f aca="false">(I183/RefSpeed)^SpeedExp</f>
        <v>0.79383224102017</v>
      </c>
      <c r="P183" s="2" t="n">
        <f aca="false">IF(H183&gt;0,1,0)</f>
        <v>1</v>
      </c>
      <c r="Q183" s="71" t="n">
        <f aca="false">N183/2*O183*(ConsLaden+IF(P183=1,ConsLaden,ConsBallast))</f>
        <v>750.17146776406</v>
      </c>
      <c r="R183" s="71" t="n">
        <f aca="false">Q183*(1-M183)</f>
        <v>652.649176954733</v>
      </c>
      <c r="S183" s="71" t="n">
        <f aca="false">Q183*M183</f>
        <v>97.5222908093279</v>
      </c>
      <c r="T183" s="2" t="n">
        <f aca="false">1+P183</f>
        <v>2</v>
      </c>
      <c r="U183" s="77" t="n">
        <f aca="false">INDEX(Routes!$L$6:$L$9,$C183)*T183*F183</f>
        <v>10</v>
      </c>
      <c r="V183" s="77" t="n">
        <f aca="false">INDEX(Routes!$M$6:$M$9,$C183)*T183*F183</f>
        <v>7</v>
      </c>
      <c r="W183" s="77" t="n">
        <f aca="false">INDEX(Routes!$H$6:$H$9,$C183)*2</f>
        <v>0</v>
      </c>
      <c r="X183" s="71" t="n">
        <f aca="false">(U183+V183+W183)*ConsPort</f>
        <v>102</v>
      </c>
      <c r="Y183" s="67" t="n">
        <f aca="false">R183*D183*VLSFO_Mult+(S183+X183)*D183*MGO_Mult</f>
        <v>452449.717421125</v>
      </c>
      <c r="Z183" s="67" t="n">
        <f aca="false">(INDEX(Routes!$N$6:$N$9,$C183)+AN183+MIN(AC183*INDEX(Routes!$T$6:$T$9,$C183),INDEX(Routes!$V$6:$V$9,$C183))+INDEX(Routes!$O$6:$O$9,$C183)+AO183+MIN(AC183*INDEX(Routes!$U$6:$U$9,$C183),INDEX(Routes!$W$6:$W$9,$C183))+IF(P183=1,INDEX(Routes!$N$6:$N$9,$C183)+AN183+MIN(AD183*INDEX(Routes!$T$6:$T$9,$C183),INDEX(Routes!$V$6:$V$9,$C183))+INDEX(Routes!$O$6:$O$9,$C183)+AO183+MIN(AD183*INDEX(Routes!$U$6:$U$9,$C183),INDEX(Routes!$W$6:$W$9,$C183)),0))*J183</f>
        <v>252304.2096</v>
      </c>
      <c r="AA183" s="67" t="n">
        <f aca="false">INDEX(Routes!$R$6:$R$9,$C183)+IF(P183=1,INDEX(Routes!$R$6:$R$9,$C183),INDEX(Routes!$S$6:$S$9,$C183))</f>
        <v>0</v>
      </c>
      <c r="AB183" s="67" t="n">
        <f aca="false">((R183*CO2_VLSFO+S183*CO2_MGO)*INDEX(Routes!$I$6:$I$9,$C183)+(U183*INDEX(Routes!$P$6:$P$9,$C183)+V183*INDEX(Routes!$Q$6:$Q$9,$C183))*ConsPort*CO2_MGO)*PhaseIn*K183*FX</f>
        <v>107840.287556584</v>
      </c>
      <c r="AC183" s="71" t="n">
        <f aca="false">Capacity*G183</f>
        <v>30600</v>
      </c>
      <c r="AD183" s="71" t="n">
        <f aca="false">Capacity*H183</f>
        <v>18000</v>
      </c>
      <c r="AE183" s="82" t="n">
        <f aca="false">INDEX(Routes!$J$6:$J$9,$C183)*E183</f>
        <v>52</v>
      </c>
      <c r="AF183" s="82" t="n">
        <f aca="false">INDEX(Routes!$K$6:$K$9,$C183)*E183</f>
        <v>38</v>
      </c>
      <c r="AG183" s="67" t="n">
        <f aca="false">AC183*AE183+AD183*AF183</f>
        <v>2275200</v>
      </c>
      <c r="AH183" s="67" t="n">
        <f aca="false">AG183*Commission</f>
        <v>56880</v>
      </c>
      <c r="AI183" s="67" t="n">
        <f aca="false">Y183+Z183+AA183+AB183+MiscVoy</f>
        <v>837594.214577709</v>
      </c>
      <c r="AJ183" s="77" t="n">
        <f aca="false">N183+U183+V183+W183</f>
        <v>52</v>
      </c>
      <c r="AK183" s="94" t="n">
        <f aca="false">(AG183-AH183-AI183)/AJ183</f>
        <v>26552.4189504287</v>
      </c>
      <c r="AL183" s="67" t="n">
        <f aca="false">AG183-AH183-AI183-Benchmark*AJ183</f>
        <v>444725.785422291</v>
      </c>
      <c r="AM183" s="82" t="n">
        <f aca="false">IF(AC183&gt;0,((Benchmark*AJ183+AI183)/(1-Commission)-AD183*AF183)/AC183,0)</f>
        <v>37.0938231800808</v>
      </c>
      <c r="AN183" s="67" t="n">
        <f aca="false">LOA_ft*Port_Tariffs!$C$9*IF((INDEX(Routes!$L$6:$L$9,$C183)*INDEX(Routes!$X$6:$X$9,$C183)*F183)&lt;=2,(INDEX(Routes!$L$6:$L$9,$C183)*INDEX(Routes!$X$6:$X$9,$C183)*F183),IF((INDEX(Routes!$L$6:$L$9,$C183)*INDEX(Routes!$X$6:$X$9,$C183)*F183)&lt;=3,2+0.9*((INDEX(Routes!$L$6:$L$9,$C183)*INDEX(Routes!$X$6:$X$9,$C183)*F183)-2),IF((INDEX(Routes!$L$6:$L$9,$C183)*INDEX(Routes!$X$6:$X$9,$C183)*F183)&lt;=4,2.9+0.75*((INDEX(Routes!$L$6:$L$9,$C183)*INDEX(Routes!$X$6:$X$9,$C183)*F183)-3),IF((INDEX(Routes!$L$6:$L$9,$C183)*INDEX(Routes!$X$6:$X$9,$C183)*F183)&lt;=5,3.65+0.6*((INDEX(Routes!$L$6:$L$9,$C183)*INDEX(Routes!$X$6:$X$9,$C183)*F183)-4),4.25+0.5*((INDEX(Routes!$L$6:$L$9,$C183)*INDEX(Routes!$X$6:$X$9,$C183)*F183)-5)))))</f>
        <v>19557.6</v>
      </c>
      <c r="AO183" s="67" t="n">
        <f aca="false">LOA_ft*Port_Tariffs!$C$9*IF((INDEX(Routes!$M$6:$M$9,$C183)*INDEX(Routes!$Y$6:$Y$9,$C183)*F183)&lt;=2,(INDEX(Routes!$M$6:$M$9,$C183)*INDEX(Routes!$Y$6:$Y$9,$C183)*F183),IF((INDEX(Routes!$M$6:$M$9,$C183)*INDEX(Routes!$Y$6:$Y$9,$C183)*F183)&lt;=3,2+0.9*((INDEX(Routes!$M$6:$M$9,$C183)*INDEX(Routes!$Y$6:$Y$9,$C183)*F183)-2),IF((INDEX(Routes!$M$6:$M$9,$C183)*INDEX(Routes!$Y$6:$Y$9,$C183)*F183)&lt;=4,2.9+0.75*((INDEX(Routes!$M$6:$M$9,$C183)*INDEX(Routes!$Y$6:$Y$9,$C183)*F183)-3),IF((INDEX(Routes!$M$6:$M$9,$C183)*INDEX(Routes!$Y$6:$Y$9,$C183)*F183)&lt;=5,3.65+0.6*((INDEX(Routes!$M$6:$M$9,$C183)*INDEX(Routes!$Y$6:$Y$9,$C183)*F183)-4),4.25+0.5*((INDEX(Routes!$M$6:$M$9,$C183)*INDEX(Routes!$Y$6:$Y$9,$C183)*F183)-5)))))</f>
        <v>0</v>
      </c>
    </row>
    <row r="184" customFormat="false" ht="15" hidden="false" customHeight="false" outlineLevel="0" collapsed="false">
      <c r="A184" s="2" t="s">
        <v>680</v>
      </c>
      <c r="B184" s="2" t="s">
        <v>674</v>
      </c>
      <c r="C184" s="16" t="n">
        <f aca="false">Sw_Route</f>
        <v>1</v>
      </c>
      <c r="D184" s="70" t="n">
        <v>65</v>
      </c>
      <c r="E184" s="88" t="n">
        <f aca="false">FreightMult</f>
        <v>1</v>
      </c>
      <c r="F184" s="88" t="n">
        <f aca="false">PortMult</f>
        <v>1</v>
      </c>
      <c r="G184" s="89" t="n">
        <f aca="false">UtilFH</f>
        <v>0.85</v>
      </c>
      <c r="H184" s="89" t="n">
        <f aca="false">UtilBH</f>
        <v>0.5</v>
      </c>
      <c r="I184" s="95" t="n">
        <v>13</v>
      </c>
      <c r="J184" s="88" t="n">
        <f aca="false">PortCostMult</f>
        <v>1</v>
      </c>
      <c r="K184" s="90" t="n">
        <f aca="false">EUA</f>
        <v>75</v>
      </c>
      <c r="L184" s="71" t="n">
        <f aca="false">INDEX(Routes!$E$6:$E$9,$C184)</f>
        <v>5000</v>
      </c>
      <c r="M184" s="72" t="n">
        <f aca="false">INDEX(Routes!$F$6:$F$9,$C184)/L184</f>
        <v>0.13</v>
      </c>
      <c r="N184" s="77" t="n">
        <f aca="false">2*L184*(1+SeaMargin)/(I184*24)</f>
        <v>33.6538461538462</v>
      </c>
      <c r="O184" s="84" t="n">
        <f aca="false">(I184/RefSpeed)^SpeedExp</f>
        <v>0.892953309962912</v>
      </c>
      <c r="P184" s="2" t="n">
        <f aca="false">IF(H184&gt;0,1,0)</f>
        <v>1</v>
      </c>
      <c r="Q184" s="71" t="n">
        <f aca="false">N184/2*O184*(ConsLaden+IF(P184=1,ConsLaden,ConsBallast))</f>
        <v>811.385459533608</v>
      </c>
      <c r="R184" s="71" t="n">
        <f aca="false">Q184*(1-M184)</f>
        <v>705.905349794239</v>
      </c>
      <c r="S184" s="71" t="n">
        <f aca="false">Q184*M184</f>
        <v>105.480109739369</v>
      </c>
      <c r="T184" s="2" t="n">
        <f aca="false">1+P184</f>
        <v>2</v>
      </c>
      <c r="U184" s="77" t="n">
        <f aca="false">INDEX(Routes!$L$6:$L$9,$C184)*T184*F184</f>
        <v>10</v>
      </c>
      <c r="V184" s="77" t="n">
        <f aca="false">INDEX(Routes!$M$6:$M$9,$C184)*T184*F184</f>
        <v>7</v>
      </c>
      <c r="W184" s="77" t="n">
        <f aca="false">INDEX(Routes!$H$6:$H$9,$C184)*2</f>
        <v>0</v>
      </c>
      <c r="X184" s="71" t="n">
        <f aca="false">(U184+V184+W184)*ConsPort</f>
        <v>102</v>
      </c>
      <c r="Y184" s="67" t="n">
        <f aca="false">R184*D184*VLSFO_Mult+(S184+X184)*D184*MGO_Mult</f>
        <v>484121.836762689</v>
      </c>
      <c r="Z184" s="67" t="n">
        <f aca="false">(INDEX(Routes!$N$6:$N$9,$C184)+AN184+MIN(AC184*INDEX(Routes!$T$6:$T$9,$C184),INDEX(Routes!$V$6:$V$9,$C184))+INDEX(Routes!$O$6:$O$9,$C184)+AO184+MIN(AC184*INDEX(Routes!$U$6:$U$9,$C184),INDEX(Routes!$W$6:$W$9,$C184))+IF(P184=1,INDEX(Routes!$N$6:$N$9,$C184)+AN184+MIN(AD184*INDEX(Routes!$T$6:$T$9,$C184),INDEX(Routes!$V$6:$V$9,$C184))+INDEX(Routes!$O$6:$O$9,$C184)+AO184+MIN(AD184*INDEX(Routes!$U$6:$U$9,$C184),INDEX(Routes!$W$6:$W$9,$C184)),0))*J184</f>
        <v>252304.2096</v>
      </c>
      <c r="AA184" s="67" t="n">
        <f aca="false">INDEX(Routes!$R$6:$R$9,$C184)+IF(P184=1,INDEX(Routes!$R$6:$R$9,$C184),INDEX(Routes!$S$6:$S$9,$C184))</f>
        <v>0</v>
      </c>
      <c r="AB184" s="67" t="n">
        <f aca="false">((R184*CO2_VLSFO+S184*CO2_MGO)*INDEX(Routes!$I$6:$I$9,$C184)+(U184*INDEX(Routes!$P$6:$P$9,$C184)+V184*INDEX(Routes!$Q$6:$Q$9,$C184))*ConsPort*CO2_MGO)*PhaseIn*K184*FX</f>
        <v>115733.577757202</v>
      </c>
      <c r="AC184" s="71" t="n">
        <f aca="false">Capacity*G184</f>
        <v>30600</v>
      </c>
      <c r="AD184" s="71" t="n">
        <f aca="false">Capacity*H184</f>
        <v>18000</v>
      </c>
      <c r="AE184" s="82" t="n">
        <f aca="false">INDEX(Routes!$J$6:$J$9,$C184)*E184</f>
        <v>52</v>
      </c>
      <c r="AF184" s="82" t="n">
        <f aca="false">INDEX(Routes!$K$6:$K$9,$C184)*E184</f>
        <v>38</v>
      </c>
      <c r="AG184" s="67" t="n">
        <f aca="false">AC184*AE184+AD184*AF184</f>
        <v>2275200</v>
      </c>
      <c r="AH184" s="67" t="n">
        <f aca="false">AG184*Commission</f>
        <v>56880</v>
      </c>
      <c r="AI184" s="67" t="n">
        <f aca="false">Y184+Z184+AA184+AB184+MiscVoy</f>
        <v>877159.62411989</v>
      </c>
      <c r="AJ184" s="77" t="n">
        <f aca="false">N184+U184+V184+W184</f>
        <v>50.6538461538462</v>
      </c>
      <c r="AK184" s="94" t="n">
        <f aca="false">(AG184-AH184-AI184)/AJ184</f>
        <v>26476.9702147934</v>
      </c>
      <c r="AL184" s="67" t="n">
        <f aca="false">AG184-AH184-AI184-Benchmark*AJ184</f>
        <v>429391.145110879</v>
      </c>
      <c r="AM184" s="82" t="n">
        <f aca="false">IF(AC184&gt;0,((Benchmark*AJ184+AI184)/(1-Commission)-AD184*AF184)/AC184,0)</f>
        <v>37.6078047557942</v>
      </c>
      <c r="AN184" s="67" t="n">
        <f aca="false">LOA_ft*Port_Tariffs!$C$9*IF((INDEX(Routes!$L$6:$L$9,$C184)*INDEX(Routes!$X$6:$X$9,$C184)*F184)&lt;=2,(INDEX(Routes!$L$6:$L$9,$C184)*INDEX(Routes!$X$6:$X$9,$C184)*F184),IF((INDEX(Routes!$L$6:$L$9,$C184)*INDEX(Routes!$X$6:$X$9,$C184)*F184)&lt;=3,2+0.9*((INDEX(Routes!$L$6:$L$9,$C184)*INDEX(Routes!$X$6:$X$9,$C184)*F184)-2),IF((INDEX(Routes!$L$6:$L$9,$C184)*INDEX(Routes!$X$6:$X$9,$C184)*F184)&lt;=4,2.9+0.75*((INDEX(Routes!$L$6:$L$9,$C184)*INDEX(Routes!$X$6:$X$9,$C184)*F184)-3),IF((INDEX(Routes!$L$6:$L$9,$C184)*INDEX(Routes!$X$6:$X$9,$C184)*F184)&lt;=5,3.65+0.6*((INDEX(Routes!$L$6:$L$9,$C184)*INDEX(Routes!$X$6:$X$9,$C184)*F184)-4),4.25+0.5*((INDEX(Routes!$L$6:$L$9,$C184)*INDEX(Routes!$X$6:$X$9,$C184)*F184)-5)))))</f>
        <v>19557.6</v>
      </c>
      <c r="AO184" s="67" t="n">
        <f aca="false">LOA_ft*Port_Tariffs!$C$9*IF((INDEX(Routes!$M$6:$M$9,$C184)*INDEX(Routes!$Y$6:$Y$9,$C184)*F184)&lt;=2,(INDEX(Routes!$M$6:$M$9,$C184)*INDEX(Routes!$Y$6:$Y$9,$C184)*F184),IF((INDEX(Routes!$M$6:$M$9,$C184)*INDEX(Routes!$Y$6:$Y$9,$C184)*F184)&lt;=3,2+0.9*((INDEX(Routes!$M$6:$M$9,$C184)*INDEX(Routes!$Y$6:$Y$9,$C184)*F184)-2),IF((INDEX(Routes!$M$6:$M$9,$C184)*INDEX(Routes!$Y$6:$Y$9,$C184)*F184)&lt;=4,2.9+0.75*((INDEX(Routes!$M$6:$M$9,$C184)*INDEX(Routes!$Y$6:$Y$9,$C184)*F184)-3),IF((INDEX(Routes!$M$6:$M$9,$C184)*INDEX(Routes!$Y$6:$Y$9,$C184)*F184)&lt;=5,3.65+0.6*((INDEX(Routes!$M$6:$M$9,$C184)*INDEX(Routes!$Y$6:$Y$9,$C184)*F184)-4),4.25+0.5*((INDEX(Routes!$M$6:$M$9,$C184)*INDEX(Routes!$Y$6:$Y$9,$C184)*F184)-5)))))</f>
        <v>0</v>
      </c>
    </row>
    <row r="185" customFormat="false" ht="15" hidden="false" customHeight="false" outlineLevel="0" collapsed="false">
      <c r="A185" s="2" t="s">
        <v>681</v>
      </c>
      <c r="B185" s="2" t="s">
        <v>674</v>
      </c>
      <c r="C185" s="16" t="n">
        <f aca="false">Sw_Route</f>
        <v>1</v>
      </c>
      <c r="D185" s="70" t="n">
        <v>65</v>
      </c>
      <c r="E185" s="88" t="n">
        <f aca="false">FreightMult</f>
        <v>1</v>
      </c>
      <c r="F185" s="88" t="n">
        <f aca="false">PortMult</f>
        <v>1</v>
      </c>
      <c r="G185" s="89" t="n">
        <f aca="false">UtilFH</f>
        <v>0.85</v>
      </c>
      <c r="H185" s="89" t="n">
        <f aca="false">UtilBH</f>
        <v>0.5</v>
      </c>
      <c r="I185" s="95" t="n">
        <v>13.5</v>
      </c>
      <c r="J185" s="88" t="n">
        <f aca="false">PortCostMult</f>
        <v>1</v>
      </c>
      <c r="K185" s="90" t="n">
        <f aca="false">EUA</f>
        <v>75</v>
      </c>
      <c r="L185" s="71" t="n">
        <f aca="false">INDEX(Routes!$E$6:$E$9,$C185)</f>
        <v>5000</v>
      </c>
      <c r="M185" s="72" t="n">
        <f aca="false">INDEX(Routes!$F$6:$F$9,$C185)/L185</f>
        <v>0.13</v>
      </c>
      <c r="N185" s="77" t="n">
        <f aca="false">2*L185*(1+SeaMargin)/(I185*24)</f>
        <v>32.4074074074074</v>
      </c>
      <c r="O185" s="84" t="n">
        <f aca="false">(I185/RefSpeed)^SpeedExp</f>
        <v>1</v>
      </c>
      <c r="P185" s="2" t="n">
        <f aca="false">IF(H185&gt;0,1,0)</f>
        <v>1</v>
      </c>
      <c r="Q185" s="71" t="n">
        <f aca="false">N185/2*O185*(ConsLaden+IF(P185=1,ConsLaden,ConsBallast))</f>
        <v>875</v>
      </c>
      <c r="R185" s="71" t="n">
        <f aca="false">Q185*(1-M185)</f>
        <v>761.25</v>
      </c>
      <c r="S185" s="71" t="n">
        <f aca="false">Q185*M185</f>
        <v>113.75</v>
      </c>
      <c r="T185" s="2" t="n">
        <f aca="false">1+P185</f>
        <v>2</v>
      </c>
      <c r="U185" s="77" t="n">
        <f aca="false">INDEX(Routes!$L$6:$L$9,$C185)*T185*F185</f>
        <v>10</v>
      </c>
      <c r="V185" s="77" t="n">
        <f aca="false">INDEX(Routes!$M$6:$M$9,$C185)*T185*F185</f>
        <v>7</v>
      </c>
      <c r="W185" s="77" t="n">
        <f aca="false">INDEX(Routes!$H$6:$H$9,$C185)*2</f>
        <v>0</v>
      </c>
      <c r="X185" s="71" t="n">
        <f aca="false">(U185+V185+W185)*ConsPort</f>
        <v>102</v>
      </c>
      <c r="Y185" s="67" t="n">
        <f aca="false">R185*D185*VLSFO_Mult+(S185+X185)*D185*MGO_Mult</f>
        <v>517036</v>
      </c>
      <c r="Z185" s="67" t="n">
        <f aca="false">(INDEX(Routes!$N$6:$N$9,$C185)+AN185+MIN(AC185*INDEX(Routes!$T$6:$T$9,$C185),INDEX(Routes!$V$6:$V$9,$C185))+INDEX(Routes!$O$6:$O$9,$C185)+AO185+MIN(AC185*INDEX(Routes!$U$6:$U$9,$C185),INDEX(Routes!$W$6:$W$9,$C185))+IF(P185=1,INDEX(Routes!$N$6:$N$9,$C185)+AN185+MIN(AD185*INDEX(Routes!$T$6:$T$9,$C185),INDEX(Routes!$V$6:$V$9,$C185))+INDEX(Routes!$O$6:$O$9,$C185)+AO185+MIN(AD185*INDEX(Routes!$U$6:$U$9,$C185),INDEX(Routes!$W$6:$W$9,$C185)),0))*J185</f>
        <v>252304.2096</v>
      </c>
      <c r="AA185" s="67" t="n">
        <f aca="false">INDEX(Routes!$R$6:$R$9,$C185)+IF(P185=1,INDEX(Routes!$R$6:$R$9,$C185),INDEX(Routes!$S$6:$S$9,$C185))</f>
        <v>0</v>
      </c>
      <c r="AB185" s="67" t="n">
        <f aca="false">((R185*CO2_VLSFO+S185*CO2_MGO)*INDEX(Routes!$I$6:$I$9,$C185)+(U185*INDEX(Routes!$P$6:$P$9,$C185)+V185*INDEX(Routes!$Q$6:$Q$9,$C185))*ConsPort*CO2_MGO)*PhaseIn*K185*FX</f>
        <v>123936.40875</v>
      </c>
      <c r="AC185" s="71" t="n">
        <f aca="false">Capacity*G185</f>
        <v>30600</v>
      </c>
      <c r="AD185" s="71" t="n">
        <f aca="false">Capacity*H185</f>
        <v>18000</v>
      </c>
      <c r="AE185" s="82" t="n">
        <f aca="false">INDEX(Routes!$J$6:$J$9,$C185)*E185</f>
        <v>52</v>
      </c>
      <c r="AF185" s="82" t="n">
        <f aca="false">INDEX(Routes!$K$6:$K$9,$C185)*E185</f>
        <v>38</v>
      </c>
      <c r="AG185" s="67" t="n">
        <f aca="false">AC185*AE185+AD185*AF185</f>
        <v>2275200</v>
      </c>
      <c r="AH185" s="67" t="n">
        <f aca="false">AG185*Commission</f>
        <v>56880</v>
      </c>
      <c r="AI185" s="67" t="n">
        <f aca="false">Y185+Z185+AA185+AB185+MiscVoy</f>
        <v>918276.61835</v>
      </c>
      <c r="AJ185" s="77" t="n">
        <f aca="false">N185+U185+V185+W185</f>
        <v>49.4074074074074</v>
      </c>
      <c r="AK185" s="94" t="n">
        <f aca="false">(AG185-AH185-AI185)/AJ185</f>
        <v>26312.7221173538</v>
      </c>
      <c r="AL185" s="67" t="n">
        <f aca="false">AG185-AH185-AI185-Benchmark*AJ185</f>
        <v>410710.048316667</v>
      </c>
      <c r="AM185" s="82" t="n">
        <f aca="false">IF(AC185&gt;0,((Benchmark*AJ185+AI185)/(1-Commission)-AD185*AF185)/AC185,0)</f>
        <v>38.2339517909614</v>
      </c>
      <c r="AN185" s="67" t="n">
        <f aca="false">LOA_ft*Port_Tariffs!$C$9*IF((INDEX(Routes!$L$6:$L$9,$C185)*INDEX(Routes!$X$6:$X$9,$C185)*F185)&lt;=2,(INDEX(Routes!$L$6:$L$9,$C185)*INDEX(Routes!$X$6:$X$9,$C185)*F185),IF((INDEX(Routes!$L$6:$L$9,$C185)*INDEX(Routes!$X$6:$X$9,$C185)*F185)&lt;=3,2+0.9*((INDEX(Routes!$L$6:$L$9,$C185)*INDEX(Routes!$X$6:$X$9,$C185)*F185)-2),IF((INDEX(Routes!$L$6:$L$9,$C185)*INDEX(Routes!$X$6:$X$9,$C185)*F185)&lt;=4,2.9+0.75*((INDEX(Routes!$L$6:$L$9,$C185)*INDEX(Routes!$X$6:$X$9,$C185)*F185)-3),IF((INDEX(Routes!$L$6:$L$9,$C185)*INDEX(Routes!$X$6:$X$9,$C185)*F185)&lt;=5,3.65+0.6*((INDEX(Routes!$L$6:$L$9,$C185)*INDEX(Routes!$X$6:$X$9,$C185)*F185)-4),4.25+0.5*((INDEX(Routes!$L$6:$L$9,$C185)*INDEX(Routes!$X$6:$X$9,$C185)*F185)-5)))))</f>
        <v>19557.6</v>
      </c>
      <c r="AO185" s="67" t="n">
        <f aca="false">LOA_ft*Port_Tariffs!$C$9*IF((INDEX(Routes!$M$6:$M$9,$C185)*INDEX(Routes!$Y$6:$Y$9,$C185)*F185)&lt;=2,(INDEX(Routes!$M$6:$M$9,$C185)*INDEX(Routes!$Y$6:$Y$9,$C185)*F185),IF((INDEX(Routes!$M$6:$M$9,$C185)*INDEX(Routes!$Y$6:$Y$9,$C185)*F185)&lt;=3,2+0.9*((INDEX(Routes!$M$6:$M$9,$C185)*INDEX(Routes!$Y$6:$Y$9,$C185)*F185)-2),IF((INDEX(Routes!$M$6:$M$9,$C185)*INDEX(Routes!$Y$6:$Y$9,$C185)*F185)&lt;=4,2.9+0.75*((INDEX(Routes!$M$6:$M$9,$C185)*INDEX(Routes!$Y$6:$Y$9,$C185)*F185)-3),IF((INDEX(Routes!$M$6:$M$9,$C185)*INDEX(Routes!$Y$6:$Y$9,$C185)*F185)&lt;=5,3.65+0.6*((INDEX(Routes!$M$6:$M$9,$C185)*INDEX(Routes!$Y$6:$Y$9,$C185)*F185)-4),4.25+0.5*((INDEX(Routes!$M$6:$M$9,$C185)*INDEX(Routes!$Y$6:$Y$9,$C185)*F185)-5)))))</f>
        <v>0</v>
      </c>
    </row>
    <row r="186" customFormat="false" ht="15" hidden="false" customHeight="false" outlineLevel="0" collapsed="false">
      <c r="A186" s="2" t="s">
        <v>682</v>
      </c>
      <c r="B186" s="2" t="s">
        <v>674</v>
      </c>
      <c r="C186" s="16" t="n">
        <f aca="false">Sw_Route</f>
        <v>1</v>
      </c>
      <c r="D186" s="70" t="n">
        <v>65</v>
      </c>
      <c r="E186" s="88" t="n">
        <f aca="false">FreightMult</f>
        <v>1</v>
      </c>
      <c r="F186" s="88" t="n">
        <f aca="false">PortMult</f>
        <v>1</v>
      </c>
      <c r="G186" s="89" t="n">
        <f aca="false">UtilFH</f>
        <v>0.85</v>
      </c>
      <c r="H186" s="89" t="n">
        <f aca="false">UtilBH</f>
        <v>0.5</v>
      </c>
      <c r="I186" s="95" t="n">
        <v>14</v>
      </c>
      <c r="J186" s="88" t="n">
        <f aca="false">PortCostMult</f>
        <v>1</v>
      </c>
      <c r="K186" s="90" t="n">
        <f aca="false">EUA</f>
        <v>75</v>
      </c>
      <c r="L186" s="71" t="n">
        <f aca="false">INDEX(Routes!$E$6:$E$9,$C186)</f>
        <v>5000</v>
      </c>
      <c r="M186" s="72" t="n">
        <f aca="false">INDEX(Routes!$F$6:$F$9,$C186)/L186</f>
        <v>0.13</v>
      </c>
      <c r="N186" s="77" t="n">
        <f aca="false">2*L186*(1+SeaMargin)/(I186*24)</f>
        <v>31.25</v>
      </c>
      <c r="O186" s="84" t="n">
        <f aca="false">(I186/RefSpeed)^SpeedExp</f>
        <v>1.11527714271198</v>
      </c>
      <c r="P186" s="2" t="n">
        <f aca="false">IF(H186&gt;0,1,0)</f>
        <v>1</v>
      </c>
      <c r="Q186" s="71" t="n">
        <f aca="false">N186/2*O186*(ConsLaden+IF(P186=1,ConsLaden,ConsBallast))</f>
        <v>941.015089163237</v>
      </c>
      <c r="R186" s="71" t="n">
        <f aca="false">Q186*(1-M186)</f>
        <v>818.683127572016</v>
      </c>
      <c r="S186" s="71" t="n">
        <f aca="false">Q186*M186</f>
        <v>122.331961591221</v>
      </c>
      <c r="T186" s="2" t="n">
        <f aca="false">1+P186</f>
        <v>2</v>
      </c>
      <c r="U186" s="77" t="n">
        <f aca="false">INDEX(Routes!$L$6:$L$9,$C186)*T186*F186</f>
        <v>10</v>
      </c>
      <c r="V186" s="77" t="n">
        <f aca="false">INDEX(Routes!$M$6:$M$9,$C186)*T186*F186</f>
        <v>7</v>
      </c>
      <c r="W186" s="77" t="n">
        <f aca="false">INDEX(Routes!$H$6:$H$9,$C186)*2</f>
        <v>0</v>
      </c>
      <c r="X186" s="71" t="n">
        <f aca="false">(U186+V186+W186)*ConsPort</f>
        <v>102</v>
      </c>
      <c r="Y186" s="67" t="n">
        <f aca="false">R186*D186*VLSFO_Mult+(S186+X186)*D186*MGO_Mult</f>
        <v>551192.207133059</v>
      </c>
      <c r="Z186" s="67" t="n">
        <f aca="false">(INDEX(Routes!$N$6:$N$9,$C186)+AN186+MIN(AC186*INDEX(Routes!$T$6:$T$9,$C186),INDEX(Routes!$V$6:$V$9,$C186))+INDEX(Routes!$O$6:$O$9,$C186)+AO186+MIN(AC186*INDEX(Routes!$U$6:$U$9,$C186),INDEX(Routes!$W$6:$W$9,$C186))+IF(P186=1,INDEX(Routes!$N$6:$N$9,$C186)+AN186+MIN(AD186*INDEX(Routes!$T$6:$T$9,$C186),INDEX(Routes!$V$6:$V$9,$C186))+INDEX(Routes!$O$6:$O$9,$C186)+AO186+MIN(AD186*INDEX(Routes!$U$6:$U$9,$C186),INDEX(Routes!$W$6:$W$9,$C186)),0))*J186</f>
        <v>252304.2096</v>
      </c>
      <c r="AA186" s="67" t="n">
        <f aca="false">INDEX(Routes!$R$6:$R$9,$C186)+IF(P186=1,INDEX(Routes!$R$6:$R$9,$C186),INDEX(Routes!$S$6:$S$9,$C186))</f>
        <v>0</v>
      </c>
      <c r="AB186" s="67" t="n">
        <f aca="false">((R186*CO2_VLSFO+S186*CO2_MGO)*INDEX(Routes!$I$6:$I$9,$C186)+(U186*INDEX(Routes!$P$6:$P$9,$C186)+V186*INDEX(Routes!$Q$6:$Q$9,$C186))*ConsPort*CO2_MGO)*PhaseIn*K186*FX</f>
        <v>132448.780534979</v>
      </c>
      <c r="AC186" s="71" t="n">
        <f aca="false">Capacity*G186</f>
        <v>30600</v>
      </c>
      <c r="AD186" s="71" t="n">
        <f aca="false">Capacity*H186</f>
        <v>18000</v>
      </c>
      <c r="AE186" s="82" t="n">
        <f aca="false">INDEX(Routes!$J$6:$J$9,$C186)*E186</f>
        <v>52</v>
      </c>
      <c r="AF186" s="82" t="n">
        <f aca="false">INDEX(Routes!$K$6:$K$9,$C186)*E186</f>
        <v>38</v>
      </c>
      <c r="AG186" s="67" t="n">
        <f aca="false">AC186*AE186+AD186*AF186</f>
        <v>2275200</v>
      </c>
      <c r="AH186" s="67" t="n">
        <f aca="false">AG186*Commission</f>
        <v>56880</v>
      </c>
      <c r="AI186" s="67" t="n">
        <f aca="false">Y186+Z186+AA186+AB186+MiscVoy</f>
        <v>960945.197268038</v>
      </c>
      <c r="AJ186" s="77" t="n">
        <f aca="false">N186+U186+V186+W186</f>
        <v>48.25</v>
      </c>
      <c r="AK186" s="94" t="n">
        <f aca="false">(AG186-AH186-AI186)/AJ186</f>
        <v>26059.5814037712</v>
      </c>
      <c r="AL186" s="67" t="n">
        <f aca="false">AG186-AH186-AI186-Benchmark*AJ186</f>
        <v>388874.802731962</v>
      </c>
      <c r="AM186" s="82" t="n">
        <f aca="false">IF(AC186&gt;0,((Benchmark*AJ186+AI186)/(1-Commission)-AD186*AF186)/AC186,0)</f>
        <v>38.9658185777791</v>
      </c>
      <c r="AN186" s="67" t="n">
        <f aca="false">LOA_ft*Port_Tariffs!$C$9*IF((INDEX(Routes!$L$6:$L$9,$C186)*INDEX(Routes!$X$6:$X$9,$C186)*F186)&lt;=2,(INDEX(Routes!$L$6:$L$9,$C186)*INDEX(Routes!$X$6:$X$9,$C186)*F186),IF((INDEX(Routes!$L$6:$L$9,$C186)*INDEX(Routes!$X$6:$X$9,$C186)*F186)&lt;=3,2+0.9*((INDEX(Routes!$L$6:$L$9,$C186)*INDEX(Routes!$X$6:$X$9,$C186)*F186)-2),IF((INDEX(Routes!$L$6:$L$9,$C186)*INDEX(Routes!$X$6:$X$9,$C186)*F186)&lt;=4,2.9+0.75*((INDEX(Routes!$L$6:$L$9,$C186)*INDEX(Routes!$X$6:$X$9,$C186)*F186)-3),IF((INDEX(Routes!$L$6:$L$9,$C186)*INDEX(Routes!$X$6:$X$9,$C186)*F186)&lt;=5,3.65+0.6*((INDEX(Routes!$L$6:$L$9,$C186)*INDEX(Routes!$X$6:$X$9,$C186)*F186)-4),4.25+0.5*((INDEX(Routes!$L$6:$L$9,$C186)*INDEX(Routes!$X$6:$X$9,$C186)*F186)-5)))))</f>
        <v>19557.6</v>
      </c>
      <c r="AO186" s="67" t="n">
        <f aca="false">LOA_ft*Port_Tariffs!$C$9*IF((INDEX(Routes!$M$6:$M$9,$C186)*INDEX(Routes!$Y$6:$Y$9,$C186)*F186)&lt;=2,(INDEX(Routes!$M$6:$M$9,$C186)*INDEX(Routes!$Y$6:$Y$9,$C186)*F186),IF((INDEX(Routes!$M$6:$M$9,$C186)*INDEX(Routes!$Y$6:$Y$9,$C186)*F186)&lt;=3,2+0.9*((INDEX(Routes!$M$6:$M$9,$C186)*INDEX(Routes!$Y$6:$Y$9,$C186)*F186)-2),IF((INDEX(Routes!$M$6:$M$9,$C186)*INDEX(Routes!$Y$6:$Y$9,$C186)*F186)&lt;=4,2.9+0.75*((INDEX(Routes!$M$6:$M$9,$C186)*INDEX(Routes!$Y$6:$Y$9,$C186)*F186)-3),IF((INDEX(Routes!$M$6:$M$9,$C186)*INDEX(Routes!$Y$6:$Y$9,$C186)*F186)&lt;=5,3.65+0.6*((INDEX(Routes!$M$6:$M$9,$C186)*INDEX(Routes!$Y$6:$Y$9,$C186)*F186)-4),4.25+0.5*((INDEX(Routes!$M$6:$M$9,$C186)*INDEX(Routes!$Y$6:$Y$9,$C186)*F186)-5)))))</f>
        <v>0</v>
      </c>
    </row>
    <row r="187" customFormat="false" ht="15" hidden="false" customHeight="false" outlineLevel="0" collapsed="false">
      <c r="A187" s="2" t="s">
        <v>683</v>
      </c>
      <c r="B187" s="2" t="s">
        <v>674</v>
      </c>
      <c r="C187" s="16" t="n">
        <f aca="false">Sw_Route</f>
        <v>1</v>
      </c>
      <c r="D187" s="70" t="n">
        <v>65</v>
      </c>
      <c r="E187" s="88" t="n">
        <f aca="false">FreightMult</f>
        <v>1</v>
      </c>
      <c r="F187" s="88" t="n">
        <f aca="false">PortMult</f>
        <v>1</v>
      </c>
      <c r="G187" s="89" t="n">
        <f aca="false">UtilFH</f>
        <v>0.85</v>
      </c>
      <c r="H187" s="89" t="n">
        <f aca="false">UtilBH</f>
        <v>0.5</v>
      </c>
      <c r="I187" s="95" t="n">
        <v>14.5</v>
      </c>
      <c r="J187" s="88" t="n">
        <f aca="false">PortCostMult</f>
        <v>1</v>
      </c>
      <c r="K187" s="90" t="n">
        <f aca="false">EUA</f>
        <v>75</v>
      </c>
      <c r="L187" s="71" t="n">
        <f aca="false">INDEX(Routes!$E$6:$E$9,$C187)</f>
        <v>5000</v>
      </c>
      <c r="M187" s="72" t="n">
        <f aca="false">INDEX(Routes!$F$6:$F$9,$C187)/L187</f>
        <v>0.13</v>
      </c>
      <c r="N187" s="77" t="n">
        <f aca="false">2*L187*(1+SeaMargin)/(I187*24)</f>
        <v>30.1724137931035</v>
      </c>
      <c r="O187" s="84" t="n">
        <f aca="false">(I187/RefSpeed)^SpeedExp</f>
        <v>1.23908956967942</v>
      </c>
      <c r="P187" s="2" t="n">
        <f aca="false">IF(H187&gt;0,1,0)</f>
        <v>1</v>
      </c>
      <c r="Q187" s="71" t="n">
        <f aca="false">N187/2*O187*(ConsLaden+IF(P187=1,ConsLaden,ConsBallast))</f>
        <v>1009.43072702332</v>
      </c>
      <c r="R187" s="71" t="n">
        <f aca="false">Q187*(1-M187)</f>
        <v>878.204732510288</v>
      </c>
      <c r="S187" s="71" t="n">
        <f aca="false">Q187*M187</f>
        <v>131.225994513032</v>
      </c>
      <c r="T187" s="2" t="n">
        <f aca="false">1+P187</f>
        <v>2</v>
      </c>
      <c r="U187" s="77" t="n">
        <f aca="false">INDEX(Routes!$L$6:$L$9,$C187)*T187*F187</f>
        <v>10</v>
      </c>
      <c r="V187" s="77" t="n">
        <f aca="false">INDEX(Routes!$M$6:$M$9,$C187)*T187*F187</f>
        <v>7</v>
      </c>
      <c r="W187" s="77" t="n">
        <f aca="false">INDEX(Routes!$H$6:$H$9,$C187)*2</f>
        <v>0</v>
      </c>
      <c r="X187" s="71" t="n">
        <f aca="false">(U187+V187+W187)*ConsPort</f>
        <v>102</v>
      </c>
      <c r="Y187" s="67" t="n">
        <f aca="false">R187*D187*VLSFO_Mult+(S187+X187)*D187*MGO_Mult</f>
        <v>586590.458161866</v>
      </c>
      <c r="Z187" s="67" t="n">
        <f aca="false">(INDEX(Routes!$N$6:$N$9,$C187)+AN187+MIN(AC187*INDEX(Routes!$T$6:$T$9,$C187),INDEX(Routes!$V$6:$V$9,$C187))+INDEX(Routes!$O$6:$O$9,$C187)+AO187+MIN(AC187*INDEX(Routes!$U$6:$U$9,$C187),INDEX(Routes!$W$6:$W$9,$C187))+IF(P187=1,INDEX(Routes!$N$6:$N$9,$C187)+AN187+MIN(AD187*INDEX(Routes!$T$6:$T$9,$C187),INDEX(Routes!$V$6:$V$9,$C187))+INDEX(Routes!$O$6:$O$9,$C187)+AO187+MIN(AD187*INDEX(Routes!$U$6:$U$9,$C187),INDEX(Routes!$W$6:$W$9,$C187)),0))*J187</f>
        <v>252304.2096</v>
      </c>
      <c r="AA187" s="67" t="n">
        <f aca="false">INDEX(Routes!$R$6:$R$9,$C187)+IF(P187=1,INDEX(Routes!$R$6:$R$9,$C187),INDEX(Routes!$S$6:$S$9,$C187))</f>
        <v>0</v>
      </c>
      <c r="AB187" s="67" t="n">
        <f aca="false">((R187*CO2_VLSFO+S187*CO2_MGO)*INDEX(Routes!$I$6:$I$9,$C187)+(U187*INDEX(Routes!$P$6:$P$9,$C187)+V187*INDEX(Routes!$Q$6:$Q$9,$C187))*ConsPort*CO2_MGO)*PhaseIn*K187*FX</f>
        <v>141270.69311214</v>
      </c>
      <c r="AC187" s="71" t="n">
        <f aca="false">Capacity*G187</f>
        <v>30600</v>
      </c>
      <c r="AD187" s="71" t="n">
        <f aca="false">Capacity*H187</f>
        <v>18000</v>
      </c>
      <c r="AE187" s="82" t="n">
        <f aca="false">INDEX(Routes!$J$6:$J$9,$C187)*E187</f>
        <v>52</v>
      </c>
      <c r="AF187" s="82" t="n">
        <f aca="false">INDEX(Routes!$K$6:$K$9,$C187)*E187</f>
        <v>38</v>
      </c>
      <c r="AG187" s="67" t="n">
        <f aca="false">AC187*AE187+AD187*AF187</f>
        <v>2275200</v>
      </c>
      <c r="AH187" s="67" t="n">
        <f aca="false">AG187*Commission</f>
        <v>56880</v>
      </c>
      <c r="AI187" s="67" t="n">
        <f aca="false">Y187+Z187+AA187+AB187+MiscVoy</f>
        <v>1005165.36087401</v>
      </c>
      <c r="AJ187" s="77" t="n">
        <f aca="false">N187+U187+V187+W187</f>
        <v>47.1724137931034</v>
      </c>
      <c r="AK187" s="94" t="n">
        <f aca="false">(AG187-AH187-AI187)/AJ187</f>
        <v>25717.4594551563</v>
      </c>
      <c r="AL187" s="67" t="n">
        <f aca="false">AG187-AH187-AI187-Benchmark*AJ187</f>
        <v>364051.190850132</v>
      </c>
      <c r="AM187" s="82" t="n">
        <f aca="false">IF(AC187&gt;0,((Benchmark*AJ187+AI187)/(1-Commission)-AD187*AF187)/AC187,0)</f>
        <v>39.7978484715893</v>
      </c>
      <c r="AN187" s="67" t="n">
        <f aca="false">LOA_ft*Port_Tariffs!$C$9*IF((INDEX(Routes!$L$6:$L$9,$C187)*INDEX(Routes!$X$6:$X$9,$C187)*F187)&lt;=2,(INDEX(Routes!$L$6:$L$9,$C187)*INDEX(Routes!$X$6:$X$9,$C187)*F187),IF((INDEX(Routes!$L$6:$L$9,$C187)*INDEX(Routes!$X$6:$X$9,$C187)*F187)&lt;=3,2+0.9*((INDEX(Routes!$L$6:$L$9,$C187)*INDEX(Routes!$X$6:$X$9,$C187)*F187)-2),IF((INDEX(Routes!$L$6:$L$9,$C187)*INDEX(Routes!$X$6:$X$9,$C187)*F187)&lt;=4,2.9+0.75*((INDEX(Routes!$L$6:$L$9,$C187)*INDEX(Routes!$X$6:$X$9,$C187)*F187)-3),IF((INDEX(Routes!$L$6:$L$9,$C187)*INDEX(Routes!$X$6:$X$9,$C187)*F187)&lt;=5,3.65+0.6*((INDEX(Routes!$L$6:$L$9,$C187)*INDEX(Routes!$X$6:$X$9,$C187)*F187)-4),4.25+0.5*((INDEX(Routes!$L$6:$L$9,$C187)*INDEX(Routes!$X$6:$X$9,$C187)*F187)-5)))))</f>
        <v>19557.6</v>
      </c>
      <c r="AO187" s="67" t="n">
        <f aca="false">LOA_ft*Port_Tariffs!$C$9*IF((INDEX(Routes!$M$6:$M$9,$C187)*INDEX(Routes!$Y$6:$Y$9,$C187)*F187)&lt;=2,(INDEX(Routes!$M$6:$M$9,$C187)*INDEX(Routes!$Y$6:$Y$9,$C187)*F187),IF((INDEX(Routes!$M$6:$M$9,$C187)*INDEX(Routes!$Y$6:$Y$9,$C187)*F187)&lt;=3,2+0.9*((INDEX(Routes!$M$6:$M$9,$C187)*INDEX(Routes!$Y$6:$Y$9,$C187)*F187)-2),IF((INDEX(Routes!$M$6:$M$9,$C187)*INDEX(Routes!$Y$6:$Y$9,$C187)*F187)&lt;=4,2.9+0.75*((INDEX(Routes!$M$6:$M$9,$C187)*INDEX(Routes!$Y$6:$Y$9,$C187)*F187)-3),IF((INDEX(Routes!$M$6:$M$9,$C187)*INDEX(Routes!$Y$6:$Y$9,$C187)*F187)&lt;=5,3.65+0.6*((INDEX(Routes!$M$6:$M$9,$C187)*INDEX(Routes!$Y$6:$Y$9,$C187)*F187)-4),4.25+0.5*((INDEX(Routes!$M$6:$M$9,$C187)*INDEX(Routes!$Y$6:$Y$9,$C187)*F187)-5)))))</f>
        <v>0</v>
      </c>
    </row>
    <row r="188" customFormat="false" ht="15" hidden="false" customHeight="false" outlineLevel="0" collapsed="false">
      <c r="A188" s="2" t="s">
        <v>684</v>
      </c>
      <c r="B188" s="2" t="s">
        <v>674</v>
      </c>
      <c r="C188" s="16" t="n">
        <f aca="false">Sw_Route</f>
        <v>1</v>
      </c>
      <c r="D188" s="70" t="n">
        <v>65</v>
      </c>
      <c r="E188" s="88" t="n">
        <f aca="false">FreightMult</f>
        <v>1</v>
      </c>
      <c r="F188" s="88" t="n">
        <f aca="false">PortMult</f>
        <v>1</v>
      </c>
      <c r="G188" s="89" t="n">
        <f aca="false">UtilFH</f>
        <v>0.85</v>
      </c>
      <c r="H188" s="89" t="n">
        <f aca="false">UtilBH</f>
        <v>0.5</v>
      </c>
      <c r="I188" s="95" t="n">
        <v>15</v>
      </c>
      <c r="J188" s="88" t="n">
        <f aca="false">PortCostMult</f>
        <v>1</v>
      </c>
      <c r="K188" s="90" t="n">
        <f aca="false">EUA</f>
        <v>75</v>
      </c>
      <c r="L188" s="71" t="n">
        <f aca="false">INDEX(Routes!$E$6:$E$9,$C188)</f>
        <v>5000</v>
      </c>
      <c r="M188" s="72" t="n">
        <f aca="false">INDEX(Routes!$F$6:$F$9,$C188)/L188</f>
        <v>0.13</v>
      </c>
      <c r="N188" s="77" t="n">
        <f aca="false">2*L188*(1+SeaMargin)/(I188*24)</f>
        <v>29.1666666666667</v>
      </c>
      <c r="O188" s="84" t="n">
        <f aca="false">(I188/RefSpeed)^SpeedExp</f>
        <v>1.37174211248285</v>
      </c>
      <c r="P188" s="2" t="n">
        <f aca="false">IF(H188&gt;0,1,0)</f>
        <v>1</v>
      </c>
      <c r="Q188" s="71" t="n">
        <f aca="false">N188/2*O188*(ConsLaden+IF(P188=1,ConsLaden,ConsBallast))</f>
        <v>1080.24691358025</v>
      </c>
      <c r="R188" s="71" t="n">
        <f aca="false">Q188*(1-M188)</f>
        <v>939.814814814815</v>
      </c>
      <c r="S188" s="71" t="n">
        <f aca="false">Q188*M188</f>
        <v>140.432098765432</v>
      </c>
      <c r="T188" s="2" t="n">
        <f aca="false">1+P188</f>
        <v>2</v>
      </c>
      <c r="U188" s="77" t="n">
        <f aca="false">INDEX(Routes!$L$6:$L$9,$C188)*T188*F188</f>
        <v>10</v>
      </c>
      <c r="V188" s="77" t="n">
        <f aca="false">INDEX(Routes!$M$6:$M$9,$C188)*T188*F188</f>
        <v>7</v>
      </c>
      <c r="W188" s="77" t="n">
        <f aca="false">INDEX(Routes!$H$6:$H$9,$C188)*2</f>
        <v>0</v>
      </c>
      <c r="X188" s="71" t="n">
        <f aca="false">(U188+V188+W188)*ConsPort</f>
        <v>102</v>
      </c>
      <c r="Y188" s="67" t="n">
        <f aca="false">R188*D188*VLSFO_Mult+(S188+X188)*D188*MGO_Mult</f>
        <v>623230.75308642</v>
      </c>
      <c r="Z188" s="67" t="n">
        <f aca="false">(INDEX(Routes!$N$6:$N$9,$C188)+AN188+MIN(AC188*INDEX(Routes!$T$6:$T$9,$C188),INDEX(Routes!$V$6:$V$9,$C188))+INDEX(Routes!$O$6:$O$9,$C188)+AO188+MIN(AC188*INDEX(Routes!$U$6:$U$9,$C188),INDEX(Routes!$W$6:$W$9,$C188))+IF(P188=1,INDEX(Routes!$N$6:$N$9,$C188)+AN188+MIN(AD188*INDEX(Routes!$T$6:$T$9,$C188),INDEX(Routes!$V$6:$V$9,$C188))+INDEX(Routes!$O$6:$O$9,$C188)+AO188+MIN(AD188*INDEX(Routes!$U$6:$U$9,$C188),INDEX(Routes!$W$6:$W$9,$C188)),0))*J188</f>
        <v>252304.2096</v>
      </c>
      <c r="AA188" s="67" t="n">
        <f aca="false">INDEX(Routes!$R$6:$R$9,$C188)+IF(P188=1,INDEX(Routes!$R$6:$R$9,$C188),INDEX(Routes!$S$6:$S$9,$C188))</f>
        <v>0</v>
      </c>
      <c r="AB188" s="67" t="n">
        <f aca="false">((R188*CO2_VLSFO+S188*CO2_MGO)*INDEX(Routes!$I$6:$I$9,$C188)+(U188*INDEX(Routes!$P$6:$P$9,$C188)+V188*INDEX(Routes!$Q$6:$Q$9,$C188))*ConsPort*CO2_MGO)*PhaseIn*K188*FX</f>
        <v>150402.146481482</v>
      </c>
      <c r="AC188" s="71" t="n">
        <f aca="false">Capacity*G188</f>
        <v>30600</v>
      </c>
      <c r="AD188" s="71" t="n">
        <f aca="false">Capacity*H188</f>
        <v>18000</v>
      </c>
      <c r="AE188" s="82" t="n">
        <f aca="false">INDEX(Routes!$J$6:$J$9,$C188)*E188</f>
        <v>52</v>
      </c>
      <c r="AF188" s="82" t="n">
        <f aca="false">INDEX(Routes!$K$6:$K$9,$C188)*E188</f>
        <v>38</v>
      </c>
      <c r="AG188" s="67" t="n">
        <f aca="false">AC188*AE188+AD188*AF188</f>
        <v>2275200</v>
      </c>
      <c r="AH188" s="67" t="n">
        <f aca="false">AG188*Commission</f>
        <v>56880</v>
      </c>
      <c r="AI188" s="67" t="n">
        <f aca="false">Y188+Z188+AA188+AB188+MiscVoy</f>
        <v>1050937.1091679</v>
      </c>
      <c r="AJ188" s="77" t="n">
        <f aca="false">N188+U188+V188+W188</f>
        <v>46.1666666666667</v>
      </c>
      <c r="AK188" s="94" t="n">
        <f aca="false">(AG188-AH188-AI188)/AJ188</f>
        <v>25286.2720035834</v>
      </c>
      <c r="AL188" s="67" t="n">
        <f aca="false">AG188-AH188-AI188-Benchmark*AJ188</f>
        <v>336382.890832099</v>
      </c>
      <c r="AM188" s="82" t="n">
        <f aca="false">IF(AC188&gt;0,((Benchmark*AJ188+AI188)/(1-Commission)-AD188*AF188)/AC188,0)</f>
        <v>40.7252257136887</v>
      </c>
      <c r="AN188" s="67" t="n">
        <f aca="false">LOA_ft*Port_Tariffs!$C$9*IF((INDEX(Routes!$L$6:$L$9,$C188)*INDEX(Routes!$X$6:$X$9,$C188)*F188)&lt;=2,(INDEX(Routes!$L$6:$L$9,$C188)*INDEX(Routes!$X$6:$X$9,$C188)*F188),IF((INDEX(Routes!$L$6:$L$9,$C188)*INDEX(Routes!$X$6:$X$9,$C188)*F188)&lt;=3,2+0.9*((INDEX(Routes!$L$6:$L$9,$C188)*INDEX(Routes!$X$6:$X$9,$C188)*F188)-2),IF((INDEX(Routes!$L$6:$L$9,$C188)*INDEX(Routes!$X$6:$X$9,$C188)*F188)&lt;=4,2.9+0.75*((INDEX(Routes!$L$6:$L$9,$C188)*INDEX(Routes!$X$6:$X$9,$C188)*F188)-3),IF((INDEX(Routes!$L$6:$L$9,$C188)*INDEX(Routes!$X$6:$X$9,$C188)*F188)&lt;=5,3.65+0.6*((INDEX(Routes!$L$6:$L$9,$C188)*INDEX(Routes!$X$6:$X$9,$C188)*F188)-4),4.25+0.5*((INDEX(Routes!$L$6:$L$9,$C188)*INDEX(Routes!$X$6:$X$9,$C188)*F188)-5)))))</f>
        <v>19557.6</v>
      </c>
      <c r="AO188" s="67" t="n">
        <f aca="false">LOA_ft*Port_Tariffs!$C$9*IF((INDEX(Routes!$M$6:$M$9,$C188)*INDEX(Routes!$Y$6:$Y$9,$C188)*F188)&lt;=2,(INDEX(Routes!$M$6:$M$9,$C188)*INDEX(Routes!$Y$6:$Y$9,$C188)*F188),IF((INDEX(Routes!$M$6:$M$9,$C188)*INDEX(Routes!$Y$6:$Y$9,$C188)*F188)&lt;=3,2+0.9*((INDEX(Routes!$M$6:$M$9,$C188)*INDEX(Routes!$Y$6:$Y$9,$C188)*F188)-2),IF((INDEX(Routes!$M$6:$M$9,$C188)*INDEX(Routes!$Y$6:$Y$9,$C188)*F188)&lt;=4,2.9+0.75*((INDEX(Routes!$M$6:$M$9,$C188)*INDEX(Routes!$Y$6:$Y$9,$C188)*F188)-3),IF((INDEX(Routes!$M$6:$M$9,$C188)*INDEX(Routes!$Y$6:$Y$9,$C188)*F188)&lt;=5,3.65+0.6*((INDEX(Routes!$M$6:$M$9,$C188)*INDEX(Routes!$Y$6:$Y$9,$C188)*F188)-4),4.25+0.5*((INDEX(Routes!$M$6:$M$9,$C188)*INDEX(Routes!$Y$6:$Y$9,$C188)*F188)-5)))))</f>
        <v>0</v>
      </c>
    </row>
    <row r="189" customFormat="false" ht="15" hidden="false" customHeight="false" outlineLevel="0" collapsed="false">
      <c r="A189" s="2" t="s">
        <v>685</v>
      </c>
      <c r="B189" s="2" t="s">
        <v>674</v>
      </c>
      <c r="C189" s="16" t="n">
        <f aca="false">Sw_Route</f>
        <v>1</v>
      </c>
      <c r="D189" s="70" t="n">
        <v>82</v>
      </c>
      <c r="E189" s="88" t="n">
        <f aca="false">FreightMult</f>
        <v>1</v>
      </c>
      <c r="F189" s="88" t="n">
        <f aca="false">PortMult</f>
        <v>1</v>
      </c>
      <c r="G189" s="89" t="n">
        <f aca="false">UtilFH</f>
        <v>0.85</v>
      </c>
      <c r="H189" s="89" t="n">
        <f aca="false">UtilBH</f>
        <v>0.5</v>
      </c>
      <c r="I189" s="95" t="n">
        <v>10</v>
      </c>
      <c r="J189" s="88" t="n">
        <f aca="false">PortCostMult</f>
        <v>1</v>
      </c>
      <c r="K189" s="90" t="n">
        <f aca="false">EUA</f>
        <v>75</v>
      </c>
      <c r="L189" s="71" t="n">
        <f aca="false">INDEX(Routes!$E$6:$E$9,$C189)</f>
        <v>5000</v>
      </c>
      <c r="M189" s="72" t="n">
        <f aca="false">INDEX(Routes!$F$6:$F$9,$C189)/L189</f>
        <v>0.13</v>
      </c>
      <c r="N189" s="77" t="n">
        <f aca="false">2*L189*(1+SeaMargin)/(I189*24)</f>
        <v>43.75</v>
      </c>
      <c r="O189" s="84" t="n">
        <f aca="false">(I189/RefSpeed)^SpeedExp</f>
        <v>0.406442107402327</v>
      </c>
      <c r="P189" s="2" t="n">
        <f aca="false">IF(H189&gt;0,1,0)</f>
        <v>1</v>
      </c>
      <c r="Q189" s="71" t="n">
        <f aca="false">N189/2*O189*(ConsLaden+IF(P189=1,ConsLaden,ConsBallast))</f>
        <v>480.109739368999</v>
      </c>
      <c r="R189" s="71" t="n">
        <f aca="false">Q189*(1-M189)</f>
        <v>417.695473251029</v>
      </c>
      <c r="S189" s="71" t="n">
        <f aca="false">Q189*M189</f>
        <v>62.4142661179698</v>
      </c>
      <c r="T189" s="2" t="n">
        <f aca="false">1+P189</f>
        <v>2</v>
      </c>
      <c r="U189" s="77" t="n">
        <f aca="false">INDEX(Routes!$L$6:$L$9,$C189)*T189*F189</f>
        <v>10</v>
      </c>
      <c r="V189" s="77" t="n">
        <f aca="false">INDEX(Routes!$M$6:$M$9,$C189)*T189*F189</f>
        <v>7</v>
      </c>
      <c r="W189" s="77" t="n">
        <f aca="false">INDEX(Routes!$H$6:$H$9,$C189)*2</f>
        <v>0</v>
      </c>
      <c r="X189" s="71" t="n">
        <f aca="false">(U189+V189+W189)*ConsPort</f>
        <v>102</v>
      </c>
      <c r="Y189" s="67" t="n">
        <f aca="false">R189*D189*VLSFO_Mult+(S189+X189)*D189*MGO_Mult</f>
        <v>394508.029080933</v>
      </c>
      <c r="Z189" s="67" t="n">
        <f aca="false">(INDEX(Routes!$N$6:$N$9,$C189)+AN189+MIN(AC189*INDEX(Routes!$T$6:$T$9,$C189),INDEX(Routes!$V$6:$V$9,$C189))+INDEX(Routes!$O$6:$O$9,$C189)+AO189+MIN(AC189*INDEX(Routes!$U$6:$U$9,$C189),INDEX(Routes!$W$6:$W$9,$C189))+IF(P189=1,INDEX(Routes!$N$6:$N$9,$C189)+AN189+MIN(AD189*INDEX(Routes!$T$6:$T$9,$C189),INDEX(Routes!$V$6:$V$9,$C189))+INDEX(Routes!$O$6:$O$9,$C189)+AO189+MIN(AD189*INDEX(Routes!$U$6:$U$9,$C189),INDEX(Routes!$W$6:$W$9,$C189)),0))*J189</f>
        <v>252304.2096</v>
      </c>
      <c r="AA189" s="67" t="n">
        <f aca="false">INDEX(Routes!$R$6:$R$9,$C189)+IF(P189=1,INDEX(Routes!$R$6:$R$9,$C189),INDEX(Routes!$S$6:$S$9,$C189))</f>
        <v>0</v>
      </c>
      <c r="AB189" s="67" t="n">
        <f aca="false">((R189*CO2_VLSFO+S189*CO2_MGO)*INDEX(Routes!$I$6:$I$9,$C189)+(U189*INDEX(Routes!$P$6:$P$9,$C189)+V189*INDEX(Routes!$Q$6:$Q$9,$C189))*ConsPort*CO2_MGO)*PhaseIn*K189*FX</f>
        <v>73016.948436214</v>
      </c>
      <c r="AC189" s="71" t="n">
        <f aca="false">Capacity*G189</f>
        <v>30600</v>
      </c>
      <c r="AD189" s="71" t="n">
        <f aca="false">Capacity*H189</f>
        <v>18000</v>
      </c>
      <c r="AE189" s="82" t="n">
        <f aca="false">INDEX(Routes!$J$6:$J$9,$C189)*E189</f>
        <v>52</v>
      </c>
      <c r="AF189" s="82" t="n">
        <f aca="false">INDEX(Routes!$K$6:$K$9,$C189)*E189</f>
        <v>38</v>
      </c>
      <c r="AG189" s="67" t="n">
        <f aca="false">AC189*AE189+AD189*AF189</f>
        <v>2275200</v>
      </c>
      <c r="AH189" s="67" t="n">
        <f aca="false">AG189*Commission</f>
        <v>56880</v>
      </c>
      <c r="AI189" s="67" t="n">
        <f aca="false">Y189+Z189+AA189+AB189+MiscVoy</f>
        <v>744829.187117147</v>
      </c>
      <c r="AJ189" s="77" t="n">
        <f aca="false">N189+U189+V189+W189</f>
        <v>60.75</v>
      </c>
      <c r="AK189" s="94" t="n">
        <f aca="false">(AG189-AH189-AI189)/AJ189</f>
        <v>24254.992804656</v>
      </c>
      <c r="AL189" s="67" t="n">
        <f aca="false">AG189-AH189-AI189-Benchmark*AJ189</f>
        <v>379990.812882853</v>
      </c>
      <c r="AM189" s="82" t="n">
        <f aca="false">IF(AC189&gt;0,((Benchmark*AJ189+AI189)/(1-Commission)-AD189*AF189)/AC189,0)</f>
        <v>39.2635893117864</v>
      </c>
      <c r="AN189" s="67" t="n">
        <f aca="false">LOA_ft*Port_Tariffs!$C$9*IF((INDEX(Routes!$L$6:$L$9,$C189)*INDEX(Routes!$X$6:$X$9,$C189)*F189)&lt;=2,(INDEX(Routes!$L$6:$L$9,$C189)*INDEX(Routes!$X$6:$X$9,$C189)*F189),IF((INDEX(Routes!$L$6:$L$9,$C189)*INDEX(Routes!$X$6:$X$9,$C189)*F189)&lt;=3,2+0.9*((INDEX(Routes!$L$6:$L$9,$C189)*INDEX(Routes!$X$6:$X$9,$C189)*F189)-2),IF((INDEX(Routes!$L$6:$L$9,$C189)*INDEX(Routes!$X$6:$X$9,$C189)*F189)&lt;=4,2.9+0.75*((INDEX(Routes!$L$6:$L$9,$C189)*INDEX(Routes!$X$6:$X$9,$C189)*F189)-3),IF((INDEX(Routes!$L$6:$L$9,$C189)*INDEX(Routes!$X$6:$X$9,$C189)*F189)&lt;=5,3.65+0.6*((INDEX(Routes!$L$6:$L$9,$C189)*INDEX(Routes!$X$6:$X$9,$C189)*F189)-4),4.25+0.5*((INDEX(Routes!$L$6:$L$9,$C189)*INDEX(Routes!$X$6:$X$9,$C189)*F189)-5)))))</f>
        <v>19557.6</v>
      </c>
      <c r="AO189" s="67" t="n">
        <f aca="false">LOA_ft*Port_Tariffs!$C$9*IF((INDEX(Routes!$M$6:$M$9,$C189)*INDEX(Routes!$Y$6:$Y$9,$C189)*F189)&lt;=2,(INDEX(Routes!$M$6:$M$9,$C189)*INDEX(Routes!$Y$6:$Y$9,$C189)*F189),IF((INDEX(Routes!$M$6:$M$9,$C189)*INDEX(Routes!$Y$6:$Y$9,$C189)*F189)&lt;=3,2+0.9*((INDEX(Routes!$M$6:$M$9,$C189)*INDEX(Routes!$Y$6:$Y$9,$C189)*F189)-2),IF((INDEX(Routes!$M$6:$M$9,$C189)*INDEX(Routes!$Y$6:$Y$9,$C189)*F189)&lt;=4,2.9+0.75*((INDEX(Routes!$M$6:$M$9,$C189)*INDEX(Routes!$Y$6:$Y$9,$C189)*F189)-3),IF((INDEX(Routes!$M$6:$M$9,$C189)*INDEX(Routes!$Y$6:$Y$9,$C189)*F189)&lt;=5,3.65+0.6*((INDEX(Routes!$M$6:$M$9,$C189)*INDEX(Routes!$Y$6:$Y$9,$C189)*F189)-4),4.25+0.5*((INDEX(Routes!$M$6:$M$9,$C189)*INDEX(Routes!$Y$6:$Y$9,$C189)*F189)-5)))))</f>
        <v>0</v>
      </c>
    </row>
    <row r="190" customFormat="false" ht="15" hidden="false" customHeight="false" outlineLevel="0" collapsed="false">
      <c r="A190" s="2" t="s">
        <v>686</v>
      </c>
      <c r="B190" s="2" t="s">
        <v>674</v>
      </c>
      <c r="C190" s="16" t="n">
        <f aca="false">Sw_Route</f>
        <v>1</v>
      </c>
      <c r="D190" s="70" t="n">
        <v>82</v>
      </c>
      <c r="E190" s="88" t="n">
        <f aca="false">FreightMult</f>
        <v>1</v>
      </c>
      <c r="F190" s="88" t="n">
        <f aca="false">PortMult</f>
        <v>1</v>
      </c>
      <c r="G190" s="89" t="n">
        <f aca="false">UtilFH</f>
        <v>0.85</v>
      </c>
      <c r="H190" s="89" t="n">
        <f aca="false">UtilBH</f>
        <v>0.5</v>
      </c>
      <c r="I190" s="95" t="n">
        <v>10.5</v>
      </c>
      <c r="J190" s="88" t="n">
        <f aca="false">PortCostMult</f>
        <v>1</v>
      </c>
      <c r="K190" s="90" t="n">
        <f aca="false">EUA</f>
        <v>75</v>
      </c>
      <c r="L190" s="71" t="n">
        <f aca="false">INDEX(Routes!$E$6:$E$9,$C190)</f>
        <v>5000</v>
      </c>
      <c r="M190" s="72" t="n">
        <f aca="false">INDEX(Routes!$F$6:$F$9,$C190)/L190</f>
        <v>0.13</v>
      </c>
      <c r="N190" s="77" t="n">
        <f aca="false">2*L190*(1+SeaMargin)/(I190*24)</f>
        <v>41.6666666666667</v>
      </c>
      <c r="O190" s="84" t="n">
        <f aca="false">(I190/RefSpeed)^SpeedExp</f>
        <v>0.470507544581619</v>
      </c>
      <c r="P190" s="2" t="n">
        <f aca="false">IF(H190&gt;0,1,0)</f>
        <v>1</v>
      </c>
      <c r="Q190" s="71" t="n">
        <f aca="false">N190/2*O190*(ConsLaden+IF(P190=1,ConsLaden,ConsBallast))</f>
        <v>529.320987654321</v>
      </c>
      <c r="R190" s="71" t="n">
        <f aca="false">Q190*(1-M190)</f>
        <v>460.509259259259</v>
      </c>
      <c r="S190" s="71" t="n">
        <f aca="false">Q190*M190</f>
        <v>68.8117283950617</v>
      </c>
      <c r="T190" s="2" t="n">
        <f aca="false">1+P190</f>
        <v>2</v>
      </c>
      <c r="U190" s="77" t="n">
        <f aca="false">INDEX(Routes!$L$6:$L$9,$C190)*T190*F190</f>
        <v>10</v>
      </c>
      <c r="V190" s="77" t="n">
        <f aca="false">INDEX(Routes!$M$6:$M$9,$C190)*T190*F190</f>
        <v>7</v>
      </c>
      <c r="W190" s="77" t="n">
        <f aca="false">INDEX(Routes!$H$6:$H$9,$C190)*2</f>
        <v>0</v>
      </c>
      <c r="X190" s="71" t="n">
        <f aca="false">(U190+V190+W190)*ConsPort</f>
        <v>102</v>
      </c>
      <c r="Y190" s="67" t="n">
        <f aca="false">R190*D190*VLSFO_Mult+(S190+X190)*D190*MGO_Mult</f>
        <v>426629.195061729</v>
      </c>
      <c r="Z190" s="67" t="n">
        <f aca="false">(INDEX(Routes!$N$6:$N$9,$C190)+AN190+MIN(AC190*INDEX(Routes!$T$6:$T$9,$C190),INDEX(Routes!$V$6:$V$9,$C190))+INDEX(Routes!$O$6:$O$9,$C190)+AO190+MIN(AC190*INDEX(Routes!$U$6:$U$9,$C190),INDEX(Routes!$W$6:$W$9,$C190))+IF(P190=1,INDEX(Routes!$N$6:$N$9,$C190)+AN190+MIN(AD190*INDEX(Routes!$T$6:$T$9,$C190),INDEX(Routes!$V$6:$V$9,$C190))+INDEX(Routes!$O$6:$O$9,$C190)+AO190+MIN(AD190*INDEX(Routes!$U$6:$U$9,$C190),INDEX(Routes!$W$6:$W$9,$C190)),0))*J190</f>
        <v>252304.2096</v>
      </c>
      <c r="AA190" s="67" t="n">
        <f aca="false">INDEX(Routes!$R$6:$R$9,$C190)+IF(P190=1,INDEX(Routes!$R$6:$R$9,$C190),INDEX(Routes!$S$6:$S$9,$C190))</f>
        <v>0</v>
      </c>
      <c r="AB190" s="67" t="n">
        <f aca="false">((R190*CO2_VLSFO+S190*CO2_MGO)*INDEX(Routes!$I$6:$I$9,$C190)+(U190*INDEX(Routes!$P$6:$P$9,$C190)+V190*INDEX(Routes!$Q$6:$Q$9,$C190))*ConsPort*CO2_MGO)*PhaseIn*K190*FX</f>
        <v>79362.5346759259</v>
      </c>
      <c r="AC190" s="71" t="n">
        <f aca="false">Capacity*G190</f>
        <v>30600</v>
      </c>
      <c r="AD190" s="71" t="n">
        <f aca="false">Capacity*H190</f>
        <v>18000</v>
      </c>
      <c r="AE190" s="82" t="n">
        <f aca="false">INDEX(Routes!$J$6:$J$9,$C190)*E190</f>
        <v>52</v>
      </c>
      <c r="AF190" s="82" t="n">
        <f aca="false">INDEX(Routes!$K$6:$K$9,$C190)*E190</f>
        <v>38</v>
      </c>
      <c r="AG190" s="67" t="n">
        <f aca="false">AC190*AE190+AD190*AF190</f>
        <v>2275200</v>
      </c>
      <c r="AH190" s="67" t="n">
        <f aca="false">AG190*Commission</f>
        <v>56880</v>
      </c>
      <c r="AI190" s="67" t="n">
        <f aca="false">Y190+Z190+AA190+AB190+MiscVoy</f>
        <v>783295.939337654</v>
      </c>
      <c r="AJ190" s="77" t="n">
        <f aca="false">N190+U190+V190+W190</f>
        <v>58.6666666666667</v>
      </c>
      <c r="AK190" s="94" t="n">
        <f aca="false">(AG190-AH190-AI190)/AJ190</f>
        <v>24460.6373976536</v>
      </c>
      <c r="AL190" s="67" t="n">
        <f aca="false">AG190-AH190-AI190-Benchmark*AJ190</f>
        <v>379024.060662346</v>
      </c>
      <c r="AM190" s="82" t="n">
        <f aca="false">IF(AC190&gt;0,((Benchmark*AJ190+AI190)/(1-Commission)-AD190*AF190)/AC190,0)</f>
        <v>39.29599260391</v>
      </c>
      <c r="AN190" s="67" t="n">
        <f aca="false">LOA_ft*Port_Tariffs!$C$9*IF((INDEX(Routes!$L$6:$L$9,$C190)*INDEX(Routes!$X$6:$X$9,$C190)*F190)&lt;=2,(INDEX(Routes!$L$6:$L$9,$C190)*INDEX(Routes!$X$6:$X$9,$C190)*F190),IF((INDEX(Routes!$L$6:$L$9,$C190)*INDEX(Routes!$X$6:$X$9,$C190)*F190)&lt;=3,2+0.9*((INDEX(Routes!$L$6:$L$9,$C190)*INDEX(Routes!$X$6:$X$9,$C190)*F190)-2),IF((INDEX(Routes!$L$6:$L$9,$C190)*INDEX(Routes!$X$6:$X$9,$C190)*F190)&lt;=4,2.9+0.75*((INDEX(Routes!$L$6:$L$9,$C190)*INDEX(Routes!$X$6:$X$9,$C190)*F190)-3),IF((INDEX(Routes!$L$6:$L$9,$C190)*INDEX(Routes!$X$6:$X$9,$C190)*F190)&lt;=5,3.65+0.6*((INDEX(Routes!$L$6:$L$9,$C190)*INDEX(Routes!$X$6:$X$9,$C190)*F190)-4),4.25+0.5*((INDEX(Routes!$L$6:$L$9,$C190)*INDEX(Routes!$X$6:$X$9,$C190)*F190)-5)))))</f>
        <v>19557.6</v>
      </c>
      <c r="AO190" s="67" t="n">
        <f aca="false">LOA_ft*Port_Tariffs!$C$9*IF((INDEX(Routes!$M$6:$M$9,$C190)*INDEX(Routes!$Y$6:$Y$9,$C190)*F190)&lt;=2,(INDEX(Routes!$M$6:$M$9,$C190)*INDEX(Routes!$Y$6:$Y$9,$C190)*F190),IF((INDEX(Routes!$M$6:$M$9,$C190)*INDEX(Routes!$Y$6:$Y$9,$C190)*F190)&lt;=3,2+0.9*((INDEX(Routes!$M$6:$M$9,$C190)*INDEX(Routes!$Y$6:$Y$9,$C190)*F190)-2),IF((INDEX(Routes!$M$6:$M$9,$C190)*INDEX(Routes!$Y$6:$Y$9,$C190)*F190)&lt;=4,2.9+0.75*((INDEX(Routes!$M$6:$M$9,$C190)*INDEX(Routes!$Y$6:$Y$9,$C190)*F190)-3),IF((INDEX(Routes!$M$6:$M$9,$C190)*INDEX(Routes!$Y$6:$Y$9,$C190)*F190)&lt;=5,3.65+0.6*((INDEX(Routes!$M$6:$M$9,$C190)*INDEX(Routes!$Y$6:$Y$9,$C190)*F190)-4),4.25+0.5*((INDEX(Routes!$M$6:$M$9,$C190)*INDEX(Routes!$Y$6:$Y$9,$C190)*F190)-5)))))</f>
        <v>0</v>
      </c>
    </row>
    <row r="191" customFormat="false" ht="15" hidden="false" customHeight="false" outlineLevel="0" collapsed="false">
      <c r="A191" s="2" t="s">
        <v>687</v>
      </c>
      <c r="B191" s="2" t="s">
        <v>674</v>
      </c>
      <c r="C191" s="16" t="n">
        <f aca="false">Sw_Route</f>
        <v>1</v>
      </c>
      <c r="D191" s="70" t="n">
        <v>82</v>
      </c>
      <c r="E191" s="88" t="n">
        <f aca="false">FreightMult</f>
        <v>1</v>
      </c>
      <c r="F191" s="88" t="n">
        <f aca="false">PortMult</f>
        <v>1</v>
      </c>
      <c r="G191" s="89" t="n">
        <f aca="false">UtilFH</f>
        <v>0.85</v>
      </c>
      <c r="H191" s="89" t="n">
        <f aca="false">UtilBH</f>
        <v>0.5</v>
      </c>
      <c r="I191" s="95" t="n">
        <v>11</v>
      </c>
      <c r="J191" s="88" t="n">
        <f aca="false">PortCostMult</f>
        <v>1</v>
      </c>
      <c r="K191" s="90" t="n">
        <f aca="false">EUA</f>
        <v>75</v>
      </c>
      <c r="L191" s="71" t="n">
        <f aca="false">INDEX(Routes!$E$6:$E$9,$C191)</f>
        <v>5000</v>
      </c>
      <c r="M191" s="72" t="n">
        <f aca="false">INDEX(Routes!$F$6:$F$9,$C191)/L191</f>
        <v>0.13</v>
      </c>
      <c r="N191" s="77" t="n">
        <f aca="false">2*L191*(1+SeaMargin)/(I191*24)</f>
        <v>39.7727272727273</v>
      </c>
      <c r="O191" s="84" t="n">
        <f aca="false">(I191/RefSpeed)^SpeedExp</f>
        <v>0.540974444952497</v>
      </c>
      <c r="P191" s="2" t="n">
        <f aca="false">IF(H191&gt;0,1,0)</f>
        <v>1</v>
      </c>
      <c r="Q191" s="71" t="n">
        <f aca="false">N191/2*O191*(ConsLaden+IF(P191=1,ConsLaden,ConsBallast))</f>
        <v>580.932784636488</v>
      </c>
      <c r="R191" s="71" t="n">
        <f aca="false">Q191*(1-M191)</f>
        <v>505.411522633745</v>
      </c>
      <c r="S191" s="71" t="n">
        <f aca="false">Q191*M191</f>
        <v>75.5212620027435</v>
      </c>
      <c r="T191" s="2" t="n">
        <f aca="false">1+P191</f>
        <v>2</v>
      </c>
      <c r="U191" s="77" t="n">
        <f aca="false">INDEX(Routes!$L$6:$L$9,$C191)*T191*F191</f>
        <v>10</v>
      </c>
      <c r="V191" s="77" t="n">
        <f aca="false">INDEX(Routes!$M$6:$M$9,$C191)*T191*F191</f>
        <v>7</v>
      </c>
      <c r="W191" s="77" t="n">
        <f aca="false">INDEX(Routes!$H$6:$H$9,$C191)*2</f>
        <v>0</v>
      </c>
      <c r="X191" s="71" t="n">
        <f aca="false">(U191+V191+W191)*ConsPort</f>
        <v>102</v>
      </c>
      <c r="Y191" s="67" t="n">
        <f aca="false">R191*D191*VLSFO_Mult+(S191+X191)*D191*MGO_Mult</f>
        <v>460317.247187929</v>
      </c>
      <c r="Z191" s="67" t="n">
        <f aca="false">(INDEX(Routes!$N$6:$N$9,$C191)+AN191+MIN(AC191*INDEX(Routes!$T$6:$T$9,$C191),INDEX(Routes!$V$6:$V$9,$C191))+INDEX(Routes!$O$6:$O$9,$C191)+AO191+MIN(AC191*INDEX(Routes!$U$6:$U$9,$C191),INDEX(Routes!$W$6:$W$9,$C191))+IF(P191=1,INDEX(Routes!$N$6:$N$9,$C191)+AN191+MIN(AD191*INDEX(Routes!$T$6:$T$9,$C191),INDEX(Routes!$V$6:$V$9,$C191))+INDEX(Routes!$O$6:$O$9,$C191)+AO191+MIN(AD191*INDEX(Routes!$U$6:$U$9,$C191),INDEX(Routes!$W$6:$W$9,$C191)),0))*J191</f>
        <v>252304.2096</v>
      </c>
      <c r="AA191" s="67" t="n">
        <f aca="false">INDEX(Routes!$R$6:$R$9,$C191)+IF(P191=1,INDEX(Routes!$R$6:$R$9,$C191),INDEX(Routes!$S$6:$S$9,$C191))</f>
        <v>0</v>
      </c>
      <c r="AB191" s="67" t="n">
        <f aca="false">((R191*CO2_VLSFO+S191*CO2_MGO)*INDEX(Routes!$I$6:$I$9,$C191)+(U191*INDEX(Routes!$P$6:$P$9,$C191)+V191*INDEX(Routes!$Q$6:$Q$9,$C191))*ConsPort*CO2_MGO)*PhaseIn*K191*FX</f>
        <v>86017.6617078189</v>
      </c>
      <c r="AC191" s="71" t="n">
        <f aca="false">Capacity*G191</f>
        <v>30600</v>
      </c>
      <c r="AD191" s="71" t="n">
        <f aca="false">Capacity*H191</f>
        <v>18000</v>
      </c>
      <c r="AE191" s="82" t="n">
        <f aca="false">INDEX(Routes!$J$6:$J$9,$C191)*E191</f>
        <v>52</v>
      </c>
      <c r="AF191" s="82" t="n">
        <f aca="false">INDEX(Routes!$K$6:$K$9,$C191)*E191</f>
        <v>38</v>
      </c>
      <c r="AG191" s="67" t="n">
        <f aca="false">AC191*AE191+AD191*AF191</f>
        <v>2275200</v>
      </c>
      <c r="AH191" s="67" t="n">
        <f aca="false">AG191*Commission</f>
        <v>56880</v>
      </c>
      <c r="AI191" s="67" t="n">
        <f aca="false">Y191+Z191+AA191+AB191+MiscVoy</f>
        <v>823639.118495747</v>
      </c>
      <c r="AJ191" s="77" t="n">
        <f aca="false">N191+U191+V191+W191</f>
        <v>56.7727272727273</v>
      </c>
      <c r="AK191" s="94" t="n">
        <f aca="false">(AG191-AH191-AI191)/AJ191</f>
        <v>24566.0363435497</v>
      </c>
      <c r="AL191" s="67" t="n">
        <f aca="false">AG191-AH191-AI191-Benchmark*AJ191</f>
        <v>372771.790595162</v>
      </c>
      <c r="AM191" s="82" t="n">
        <f aca="false">IF(AC191&gt;0,((Benchmark*AJ191+AI191)/(1-Commission)-AD191*AF191)/AC191,0)</f>
        <v>39.5055541948999</v>
      </c>
      <c r="AN191" s="67" t="n">
        <f aca="false">LOA_ft*Port_Tariffs!$C$9*IF((INDEX(Routes!$L$6:$L$9,$C191)*INDEX(Routes!$X$6:$X$9,$C191)*F191)&lt;=2,(INDEX(Routes!$L$6:$L$9,$C191)*INDEX(Routes!$X$6:$X$9,$C191)*F191),IF((INDEX(Routes!$L$6:$L$9,$C191)*INDEX(Routes!$X$6:$X$9,$C191)*F191)&lt;=3,2+0.9*((INDEX(Routes!$L$6:$L$9,$C191)*INDEX(Routes!$X$6:$X$9,$C191)*F191)-2),IF((INDEX(Routes!$L$6:$L$9,$C191)*INDEX(Routes!$X$6:$X$9,$C191)*F191)&lt;=4,2.9+0.75*((INDEX(Routes!$L$6:$L$9,$C191)*INDEX(Routes!$X$6:$X$9,$C191)*F191)-3),IF((INDEX(Routes!$L$6:$L$9,$C191)*INDEX(Routes!$X$6:$X$9,$C191)*F191)&lt;=5,3.65+0.6*((INDEX(Routes!$L$6:$L$9,$C191)*INDEX(Routes!$X$6:$X$9,$C191)*F191)-4),4.25+0.5*((INDEX(Routes!$L$6:$L$9,$C191)*INDEX(Routes!$X$6:$X$9,$C191)*F191)-5)))))</f>
        <v>19557.6</v>
      </c>
      <c r="AO191" s="67" t="n">
        <f aca="false">LOA_ft*Port_Tariffs!$C$9*IF((INDEX(Routes!$M$6:$M$9,$C191)*INDEX(Routes!$Y$6:$Y$9,$C191)*F191)&lt;=2,(INDEX(Routes!$M$6:$M$9,$C191)*INDEX(Routes!$Y$6:$Y$9,$C191)*F191),IF((INDEX(Routes!$M$6:$M$9,$C191)*INDEX(Routes!$Y$6:$Y$9,$C191)*F191)&lt;=3,2+0.9*((INDEX(Routes!$M$6:$M$9,$C191)*INDEX(Routes!$Y$6:$Y$9,$C191)*F191)-2),IF((INDEX(Routes!$M$6:$M$9,$C191)*INDEX(Routes!$Y$6:$Y$9,$C191)*F191)&lt;=4,2.9+0.75*((INDEX(Routes!$M$6:$M$9,$C191)*INDEX(Routes!$Y$6:$Y$9,$C191)*F191)-3),IF((INDEX(Routes!$M$6:$M$9,$C191)*INDEX(Routes!$Y$6:$Y$9,$C191)*F191)&lt;=5,3.65+0.6*((INDEX(Routes!$M$6:$M$9,$C191)*INDEX(Routes!$Y$6:$Y$9,$C191)*F191)-4),4.25+0.5*((INDEX(Routes!$M$6:$M$9,$C191)*INDEX(Routes!$Y$6:$Y$9,$C191)*F191)-5)))))</f>
        <v>0</v>
      </c>
    </row>
    <row r="192" customFormat="false" ht="15" hidden="false" customHeight="false" outlineLevel="0" collapsed="false">
      <c r="A192" s="2" t="s">
        <v>688</v>
      </c>
      <c r="B192" s="2" t="s">
        <v>674</v>
      </c>
      <c r="C192" s="16" t="n">
        <f aca="false">Sw_Route</f>
        <v>1</v>
      </c>
      <c r="D192" s="70" t="n">
        <v>82</v>
      </c>
      <c r="E192" s="88" t="n">
        <f aca="false">FreightMult</f>
        <v>1</v>
      </c>
      <c r="F192" s="88" t="n">
        <f aca="false">PortMult</f>
        <v>1</v>
      </c>
      <c r="G192" s="89" t="n">
        <f aca="false">UtilFH</f>
        <v>0.85</v>
      </c>
      <c r="H192" s="89" t="n">
        <f aca="false">UtilBH</f>
        <v>0.5</v>
      </c>
      <c r="I192" s="95" t="n">
        <v>11.5</v>
      </c>
      <c r="J192" s="88" t="n">
        <f aca="false">PortCostMult</f>
        <v>1</v>
      </c>
      <c r="K192" s="90" t="n">
        <f aca="false">EUA</f>
        <v>75</v>
      </c>
      <c r="L192" s="71" t="n">
        <f aca="false">INDEX(Routes!$E$6:$E$9,$C192)</f>
        <v>5000</v>
      </c>
      <c r="M192" s="72" t="n">
        <f aca="false">INDEX(Routes!$F$6:$F$9,$C192)/L192</f>
        <v>0.13</v>
      </c>
      <c r="N192" s="77" t="n">
        <f aca="false">2*L192*(1+SeaMargin)/(I192*24)</f>
        <v>38.0434782608696</v>
      </c>
      <c r="O192" s="84" t="n">
        <f aca="false">(I192/RefSpeed)^SpeedExp</f>
        <v>0.618147640095514</v>
      </c>
      <c r="P192" s="2" t="n">
        <f aca="false">IF(H192&gt;0,1,0)</f>
        <v>1</v>
      </c>
      <c r="Q192" s="71" t="n">
        <f aca="false">N192/2*O192*(ConsLaden+IF(P192=1,ConsLaden,ConsBallast))</f>
        <v>634.945130315501</v>
      </c>
      <c r="R192" s="71" t="n">
        <f aca="false">Q192*(1-M192)</f>
        <v>552.402263374486</v>
      </c>
      <c r="S192" s="71" t="n">
        <f aca="false">Q192*M192</f>
        <v>82.5428669410151</v>
      </c>
      <c r="T192" s="2" t="n">
        <f aca="false">1+P192</f>
        <v>2</v>
      </c>
      <c r="U192" s="77" t="n">
        <f aca="false">INDEX(Routes!$L$6:$L$9,$C192)*T192*F192</f>
        <v>10</v>
      </c>
      <c r="V192" s="77" t="n">
        <f aca="false">INDEX(Routes!$M$6:$M$9,$C192)*T192*F192</f>
        <v>7</v>
      </c>
      <c r="W192" s="77" t="n">
        <f aca="false">INDEX(Routes!$H$6:$H$9,$C192)*2</f>
        <v>0</v>
      </c>
      <c r="X192" s="71" t="n">
        <f aca="false">(U192+V192+W192)*ConsPort</f>
        <v>102</v>
      </c>
      <c r="Y192" s="67" t="n">
        <f aca="false">R192*D192*VLSFO_Mult+(S192+X192)*D192*MGO_Mult</f>
        <v>495572.185459534</v>
      </c>
      <c r="Z192" s="67" t="n">
        <f aca="false">(INDEX(Routes!$N$6:$N$9,$C192)+AN192+MIN(AC192*INDEX(Routes!$T$6:$T$9,$C192),INDEX(Routes!$V$6:$V$9,$C192))+INDEX(Routes!$O$6:$O$9,$C192)+AO192+MIN(AC192*INDEX(Routes!$U$6:$U$9,$C192),INDEX(Routes!$W$6:$W$9,$C192))+IF(P192=1,INDEX(Routes!$N$6:$N$9,$C192)+AN192+MIN(AD192*INDEX(Routes!$T$6:$T$9,$C192),INDEX(Routes!$V$6:$V$9,$C192))+INDEX(Routes!$O$6:$O$9,$C192)+AO192+MIN(AD192*INDEX(Routes!$U$6:$U$9,$C192),INDEX(Routes!$W$6:$W$9,$C192)),0))*J192</f>
        <v>252304.2096</v>
      </c>
      <c r="AA192" s="67" t="n">
        <f aca="false">INDEX(Routes!$R$6:$R$9,$C192)+IF(P192=1,INDEX(Routes!$R$6:$R$9,$C192),INDEX(Routes!$S$6:$S$9,$C192))</f>
        <v>0</v>
      </c>
      <c r="AB192" s="67" t="n">
        <f aca="false">((R192*CO2_VLSFO+S192*CO2_MGO)*INDEX(Routes!$I$6:$I$9,$C192)+(U192*INDEX(Routes!$P$6:$P$9,$C192)+V192*INDEX(Routes!$Q$6:$Q$9,$C192))*ConsPort*CO2_MGO)*PhaseIn*K192*FX</f>
        <v>92982.329531893</v>
      </c>
      <c r="AC192" s="71" t="n">
        <f aca="false">Capacity*G192</f>
        <v>30600</v>
      </c>
      <c r="AD192" s="71" t="n">
        <f aca="false">Capacity*H192</f>
        <v>18000</v>
      </c>
      <c r="AE192" s="82" t="n">
        <f aca="false">INDEX(Routes!$J$6:$J$9,$C192)*E192</f>
        <v>52</v>
      </c>
      <c r="AF192" s="82" t="n">
        <f aca="false">INDEX(Routes!$K$6:$K$9,$C192)*E192</f>
        <v>38</v>
      </c>
      <c r="AG192" s="67" t="n">
        <f aca="false">AC192*AE192+AD192*AF192</f>
        <v>2275200</v>
      </c>
      <c r="AH192" s="67" t="n">
        <f aca="false">AG192*Commission</f>
        <v>56880</v>
      </c>
      <c r="AI192" s="67" t="n">
        <f aca="false">Y192+Z192+AA192+AB192+MiscVoy</f>
        <v>865858.724591427</v>
      </c>
      <c r="AJ192" s="77" t="n">
        <f aca="false">N192+U192+V192+W192</f>
        <v>55.0434782608696</v>
      </c>
      <c r="AK192" s="94" t="n">
        <f aca="false">(AG192-AH192-AI192)/AJ192</f>
        <v>24570.7814647687</v>
      </c>
      <c r="AL192" s="67" t="n">
        <f aca="false">AG192-AH192-AI192-Benchmark*AJ192</f>
        <v>361678.666712921</v>
      </c>
      <c r="AM192" s="82" t="n">
        <f aca="false">IF(AC192&gt;0,((Benchmark*AJ192+AI192)/(1-Commission)-AD192*AF192)/AC192,0)</f>
        <v>39.8773699777804</v>
      </c>
      <c r="AN192" s="67" t="n">
        <f aca="false">LOA_ft*Port_Tariffs!$C$9*IF((INDEX(Routes!$L$6:$L$9,$C192)*INDEX(Routes!$X$6:$X$9,$C192)*F192)&lt;=2,(INDEX(Routes!$L$6:$L$9,$C192)*INDEX(Routes!$X$6:$X$9,$C192)*F192),IF((INDEX(Routes!$L$6:$L$9,$C192)*INDEX(Routes!$X$6:$X$9,$C192)*F192)&lt;=3,2+0.9*((INDEX(Routes!$L$6:$L$9,$C192)*INDEX(Routes!$X$6:$X$9,$C192)*F192)-2),IF((INDEX(Routes!$L$6:$L$9,$C192)*INDEX(Routes!$X$6:$X$9,$C192)*F192)&lt;=4,2.9+0.75*((INDEX(Routes!$L$6:$L$9,$C192)*INDEX(Routes!$X$6:$X$9,$C192)*F192)-3),IF((INDEX(Routes!$L$6:$L$9,$C192)*INDEX(Routes!$X$6:$X$9,$C192)*F192)&lt;=5,3.65+0.6*((INDEX(Routes!$L$6:$L$9,$C192)*INDEX(Routes!$X$6:$X$9,$C192)*F192)-4),4.25+0.5*((INDEX(Routes!$L$6:$L$9,$C192)*INDEX(Routes!$X$6:$X$9,$C192)*F192)-5)))))</f>
        <v>19557.6</v>
      </c>
      <c r="AO192" s="67" t="n">
        <f aca="false">LOA_ft*Port_Tariffs!$C$9*IF((INDEX(Routes!$M$6:$M$9,$C192)*INDEX(Routes!$Y$6:$Y$9,$C192)*F192)&lt;=2,(INDEX(Routes!$M$6:$M$9,$C192)*INDEX(Routes!$Y$6:$Y$9,$C192)*F192),IF((INDEX(Routes!$M$6:$M$9,$C192)*INDEX(Routes!$Y$6:$Y$9,$C192)*F192)&lt;=3,2+0.9*((INDEX(Routes!$M$6:$M$9,$C192)*INDEX(Routes!$Y$6:$Y$9,$C192)*F192)-2),IF((INDEX(Routes!$M$6:$M$9,$C192)*INDEX(Routes!$Y$6:$Y$9,$C192)*F192)&lt;=4,2.9+0.75*((INDEX(Routes!$M$6:$M$9,$C192)*INDEX(Routes!$Y$6:$Y$9,$C192)*F192)-3),IF((INDEX(Routes!$M$6:$M$9,$C192)*INDEX(Routes!$Y$6:$Y$9,$C192)*F192)&lt;=5,3.65+0.6*((INDEX(Routes!$M$6:$M$9,$C192)*INDEX(Routes!$Y$6:$Y$9,$C192)*F192)-4),4.25+0.5*((INDEX(Routes!$M$6:$M$9,$C192)*INDEX(Routes!$Y$6:$Y$9,$C192)*F192)-5)))))</f>
        <v>0</v>
      </c>
    </row>
    <row r="193" customFormat="false" ht="15" hidden="false" customHeight="false" outlineLevel="0" collapsed="false">
      <c r="A193" s="2" t="s">
        <v>689</v>
      </c>
      <c r="B193" s="2" t="s">
        <v>674</v>
      </c>
      <c r="C193" s="16" t="n">
        <f aca="false">Sw_Route</f>
        <v>1</v>
      </c>
      <c r="D193" s="70" t="n">
        <v>82</v>
      </c>
      <c r="E193" s="88" t="n">
        <f aca="false">FreightMult</f>
        <v>1</v>
      </c>
      <c r="F193" s="88" t="n">
        <f aca="false">PortMult</f>
        <v>1</v>
      </c>
      <c r="G193" s="89" t="n">
        <f aca="false">UtilFH</f>
        <v>0.85</v>
      </c>
      <c r="H193" s="89" t="n">
        <f aca="false">UtilBH</f>
        <v>0.5</v>
      </c>
      <c r="I193" s="95" t="n">
        <v>12</v>
      </c>
      <c r="J193" s="88" t="n">
        <f aca="false">PortCostMult</f>
        <v>1</v>
      </c>
      <c r="K193" s="90" t="n">
        <f aca="false">EUA</f>
        <v>75</v>
      </c>
      <c r="L193" s="71" t="n">
        <f aca="false">INDEX(Routes!$E$6:$E$9,$C193)</f>
        <v>5000</v>
      </c>
      <c r="M193" s="72" t="n">
        <f aca="false">INDEX(Routes!$F$6:$F$9,$C193)/L193</f>
        <v>0.13</v>
      </c>
      <c r="N193" s="77" t="n">
        <f aca="false">2*L193*(1+SeaMargin)/(I193*24)</f>
        <v>36.4583333333333</v>
      </c>
      <c r="O193" s="84" t="n">
        <f aca="false">(I193/RefSpeed)^SpeedExp</f>
        <v>0.702331961591221</v>
      </c>
      <c r="P193" s="2" t="n">
        <f aca="false">IF(H193&gt;0,1,0)</f>
        <v>1</v>
      </c>
      <c r="Q193" s="71" t="n">
        <f aca="false">N193/2*O193*(ConsLaden+IF(P193=1,ConsLaden,ConsBallast))</f>
        <v>691.358024691358</v>
      </c>
      <c r="R193" s="71" t="n">
        <f aca="false">Q193*(1-M193)</f>
        <v>601.481481481481</v>
      </c>
      <c r="S193" s="71" t="n">
        <f aca="false">Q193*M193</f>
        <v>89.8765432098765</v>
      </c>
      <c r="T193" s="2" t="n">
        <f aca="false">1+P193</f>
        <v>2</v>
      </c>
      <c r="U193" s="77" t="n">
        <f aca="false">INDEX(Routes!$L$6:$L$9,$C193)*T193*F193</f>
        <v>10</v>
      </c>
      <c r="V193" s="77" t="n">
        <f aca="false">INDEX(Routes!$M$6:$M$9,$C193)*T193*F193</f>
        <v>7</v>
      </c>
      <c r="W193" s="77" t="n">
        <f aca="false">INDEX(Routes!$H$6:$H$9,$C193)*2</f>
        <v>0</v>
      </c>
      <c r="X193" s="71" t="n">
        <f aca="false">(U193+V193+W193)*ConsPort</f>
        <v>102</v>
      </c>
      <c r="Y193" s="67" t="n">
        <f aca="false">R193*D193*VLSFO_Mult+(S193+X193)*D193*MGO_Mult</f>
        <v>532394.009876543</v>
      </c>
      <c r="Z193" s="67" t="n">
        <f aca="false">(INDEX(Routes!$N$6:$N$9,$C193)+AN193+MIN(AC193*INDEX(Routes!$T$6:$T$9,$C193),INDEX(Routes!$V$6:$V$9,$C193))+INDEX(Routes!$O$6:$O$9,$C193)+AO193+MIN(AC193*INDEX(Routes!$U$6:$U$9,$C193),INDEX(Routes!$W$6:$W$9,$C193))+IF(P193=1,INDEX(Routes!$N$6:$N$9,$C193)+AN193+MIN(AD193*INDEX(Routes!$T$6:$T$9,$C193),INDEX(Routes!$V$6:$V$9,$C193))+INDEX(Routes!$O$6:$O$9,$C193)+AO193+MIN(AD193*INDEX(Routes!$U$6:$U$9,$C193),INDEX(Routes!$W$6:$W$9,$C193)),0))*J193</f>
        <v>252304.2096</v>
      </c>
      <c r="AA193" s="67" t="n">
        <f aca="false">INDEX(Routes!$R$6:$R$9,$C193)+IF(P193=1,INDEX(Routes!$R$6:$R$9,$C193),INDEX(Routes!$S$6:$S$9,$C193))</f>
        <v>0</v>
      </c>
      <c r="AB193" s="67" t="n">
        <f aca="false">((R193*CO2_VLSFO+S193*CO2_MGO)*INDEX(Routes!$I$6:$I$9,$C193)+(U193*INDEX(Routes!$P$6:$P$9,$C193)+V193*INDEX(Routes!$Q$6:$Q$9,$C193))*ConsPort*CO2_MGO)*PhaseIn*K193*FX</f>
        <v>100256.538148148</v>
      </c>
      <c r="AC193" s="71" t="n">
        <f aca="false">Capacity*G193</f>
        <v>30600</v>
      </c>
      <c r="AD193" s="71" t="n">
        <f aca="false">Capacity*H193</f>
        <v>18000</v>
      </c>
      <c r="AE193" s="82" t="n">
        <f aca="false">INDEX(Routes!$J$6:$J$9,$C193)*E193</f>
        <v>52</v>
      </c>
      <c r="AF193" s="82" t="n">
        <f aca="false">INDEX(Routes!$K$6:$K$9,$C193)*E193</f>
        <v>38</v>
      </c>
      <c r="AG193" s="67" t="n">
        <f aca="false">AC193*AE193+AD193*AF193</f>
        <v>2275200</v>
      </c>
      <c r="AH193" s="67" t="n">
        <f aca="false">AG193*Commission</f>
        <v>56880</v>
      </c>
      <c r="AI193" s="67" t="n">
        <f aca="false">Y193+Z193+AA193+AB193+MiscVoy</f>
        <v>909954.757624691</v>
      </c>
      <c r="AJ193" s="77" t="n">
        <f aca="false">N193+U193+V193+W193</f>
        <v>53.4583333333333</v>
      </c>
      <c r="AK193" s="94" t="n">
        <f aca="false">(AG193-AH193-AI193)/AJ193</f>
        <v>24474.4862174649</v>
      </c>
      <c r="AL193" s="67" t="n">
        <f aca="false">AG193-AH193-AI193-Benchmark*AJ193</f>
        <v>346115.242375309</v>
      </c>
      <c r="AM193" s="82" t="n">
        <f aca="false">IF(AC193&gt;0,((Benchmark*AJ193+AI193)/(1-Commission)-AD193*AF193)/AC193,0)</f>
        <v>40.3990198634051</v>
      </c>
      <c r="AN193" s="67" t="n">
        <f aca="false">LOA_ft*Port_Tariffs!$C$9*IF((INDEX(Routes!$L$6:$L$9,$C193)*INDEX(Routes!$X$6:$X$9,$C193)*F193)&lt;=2,(INDEX(Routes!$L$6:$L$9,$C193)*INDEX(Routes!$X$6:$X$9,$C193)*F193),IF((INDEX(Routes!$L$6:$L$9,$C193)*INDEX(Routes!$X$6:$X$9,$C193)*F193)&lt;=3,2+0.9*((INDEX(Routes!$L$6:$L$9,$C193)*INDEX(Routes!$X$6:$X$9,$C193)*F193)-2),IF((INDEX(Routes!$L$6:$L$9,$C193)*INDEX(Routes!$X$6:$X$9,$C193)*F193)&lt;=4,2.9+0.75*((INDEX(Routes!$L$6:$L$9,$C193)*INDEX(Routes!$X$6:$X$9,$C193)*F193)-3),IF((INDEX(Routes!$L$6:$L$9,$C193)*INDEX(Routes!$X$6:$X$9,$C193)*F193)&lt;=5,3.65+0.6*((INDEX(Routes!$L$6:$L$9,$C193)*INDEX(Routes!$X$6:$X$9,$C193)*F193)-4),4.25+0.5*((INDEX(Routes!$L$6:$L$9,$C193)*INDEX(Routes!$X$6:$X$9,$C193)*F193)-5)))))</f>
        <v>19557.6</v>
      </c>
      <c r="AO193" s="67" t="n">
        <f aca="false">LOA_ft*Port_Tariffs!$C$9*IF((INDEX(Routes!$M$6:$M$9,$C193)*INDEX(Routes!$Y$6:$Y$9,$C193)*F193)&lt;=2,(INDEX(Routes!$M$6:$M$9,$C193)*INDEX(Routes!$Y$6:$Y$9,$C193)*F193),IF((INDEX(Routes!$M$6:$M$9,$C193)*INDEX(Routes!$Y$6:$Y$9,$C193)*F193)&lt;=3,2+0.9*((INDEX(Routes!$M$6:$M$9,$C193)*INDEX(Routes!$Y$6:$Y$9,$C193)*F193)-2),IF((INDEX(Routes!$M$6:$M$9,$C193)*INDEX(Routes!$Y$6:$Y$9,$C193)*F193)&lt;=4,2.9+0.75*((INDEX(Routes!$M$6:$M$9,$C193)*INDEX(Routes!$Y$6:$Y$9,$C193)*F193)-3),IF((INDEX(Routes!$M$6:$M$9,$C193)*INDEX(Routes!$Y$6:$Y$9,$C193)*F193)&lt;=5,3.65+0.6*((INDEX(Routes!$M$6:$M$9,$C193)*INDEX(Routes!$Y$6:$Y$9,$C193)*F193)-4),4.25+0.5*((INDEX(Routes!$M$6:$M$9,$C193)*INDEX(Routes!$Y$6:$Y$9,$C193)*F193)-5)))))</f>
        <v>0</v>
      </c>
    </row>
    <row r="194" customFormat="false" ht="15" hidden="false" customHeight="false" outlineLevel="0" collapsed="false">
      <c r="A194" s="2" t="s">
        <v>690</v>
      </c>
      <c r="B194" s="2" t="s">
        <v>674</v>
      </c>
      <c r="C194" s="16" t="n">
        <f aca="false">Sw_Route</f>
        <v>1</v>
      </c>
      <c r="D194" s="70" t="n">
        <v>82</v>
      </c>
      <c r="E194" s="88" t="n">
        <f aca="false">FreightMult</f>
        <v>1</v>
      </c>
      <c r="F194" s="88" t="n">
        <f aca="false">PortMult</f>
        <v>1</v>
      </c>
      <c r="G194" s="89" t="n">
        <f aca="false">UtilFH</f>
        <v>0.85</v>
      </c>
      <c r="H194" s="89" t="n">
        <f aca="false">UtilBH</f>
        <v>0.5</v>
      </c>
      <c r="I194" s="95" t="n">
        <v>12.5</v>
      </c>
      <c r="J194" s="88" t="n">
        <f aca="false">PortCostMult</f>
        <v>1</v>
      </c>
      <c r="K194" s="90" t="n">
        <f aca="false">EUA</f>
        <v>75</v>
      </c>
      <c r="L194" s="71" t="n">
        <f aca="false">INDEX(Routes!$E$6:$E$9,$C194)</f>
        <v>5000</v>
      </c>
      <c r="M194" s="72" t="n">
        <f aca="false">INDEX(Routes!$F$6:$F$9,$C194)/L194</f>
        <v>0.13</v>
      </c>
      <c r="N194" s="77" t="n">
        <f aca="false">2*L194*(1+SeaMargin)/(I194*24)</f>
        <v>35</v>
      </c>
      <c r="O194" s="84" t="n">
        <f aca="false">(I194/RefSpeed)^SpeedExp</f>
        <v>0.79383224102017</v>
      </c>
      <c r="P194" s="2" t="n">
        <f aca="false">IF(H194&gt;0,1,0)</f>
        <v>1</v>
      </c>
      <c r="Q194" s="71" t="n">
        <f aca="false">N194/2*O194*(ConsLaden+IF(P194=1,ConsLaden,ConsBallast))</f>
        <v>750.17146776406</v>
      </c>
      <c r="R194" s="71" t="n">
        <f aca="false">Q194*(1-M194)</f>
        <v>652.649176954733</v>
      </c>
      <c r="S194" s="71" t="n">
        <f aca="false">Q194*M194</f>
        <v>97.5222908093279</v>
      </c>
      <c r="T194" s="2" t="n">
        <f aca="false">1+P194</f>
        <v>2</v>
      </c>
      <c r="U194" s="77" t="n">
        <f aca="false">INDEX(Routes!$L$6:$L$9,$C194)*T194*F194</f>
        <v>10</v>
      </c>
      <c r="V194" s="77" t="n">
        <f aca="false">INDEX(Routes!$M$6:$M$9,$C194)*T194*F194</f>
        <v>7</v>
      </c>
      <c r="W194" s="77" t="n">
        <f aca="false">INDEX(Routes!$H$6:$H$9,$C194)*2</f>
        <v>0</v>
      </c>
      <c r="X194" s="71" t="n">
        <f aca="false">(U194+V194+W194)*ConsPort</f>
        <v>102</v>
      </c>
      <c r="Y194" s="67" t="n">
        <f aca="false">R194*D194*VLSFO_Mult+(S194+X194)*D194*MGO_Mult</f>
        <v>570782.720438957</v>
      </c>
      <c r="Z194" s="67" t="n">
        <f aca="false">(INDEX(Routes!$N$6:$N$9,$C194)+AN194+MIN(AC194*INDEX(Routes!$T$6:$T$9,$C194),INDEX(Routes!$V$6:$V$9,$C194))+INDEX(Routes!$O$6:$O$9,$C194)+AO194+MIN(AC194*INDEX(Routes!$U$6:$U$9,$C194),INDEX(Routes!$W$6:$W$9,$C194))+IF(P194=1,INDEX(Routes!$N$6:$N$9,$C194)+AN194+MIN(AD194*INDEX(Routes!$T$6:$T$9,$C194),INDEX(Routes!$V$6:$V$9,$C194))+INDEX(Routes!$O$6:$O$9,$C194)+AO194+MIN(AD194*INDEX(Routes!$U$6:$U$9,$C194),INDEX(Routes!$W$6:$W$9,$C194)),0))*J194</f>
        <v>252304.2096</v>
      </c>
      <c r="AA194" s="67" t="n">
        <f aca="false">INDEX(Routes!$R$6:$R$9,$C194)+IF(P194=1,INDEX(Routes!$R$6:$R$9,$C194),INDEX(Routes!$S$6:$S$9,$C194))</f>
        <v>0</v>
      </c>
      <c r="AB194" s="67" t="n">
        <f aca="false">((R194*CO2_VLSFO+S194*CO2_MGO)*INDEX(Routes!$I$6:$I$9,$C194)+(U194*INDEX(Routes!$P$6:$P$9,$C194)+V194*INDEX(Routes!$Q$6:$Q$9,$C194))*ConsPort*CO2_MGO)*PhaseIn*K194*FX</f>
        <v>107840.287556584</v>
      </c>
      <c r="AC194" s="71" t="n">
        <f aca="false">Capacity*G194</f>
        <v>30600</v>
      </c>
      <c r="AD194" s="71" t="n">
        <f aca="false">Capacity*H194</f>
        <v>18000</v>
      </c>
      <c r="AE194" s="82" t="n">
        <f aca="false">INDEX(Routes!$J$6:$J$9,$C194)*E194</f>
        <v>52</v>
      </c>
      <c r="AF194" s="82" t="n">
        <f aca="false">INDEX(Routes!$K$6:$K$9,$C194)*E194</f>
        <v>38</v>
      </c>
      <c r="AG194" s="67" t="n">
        <f aca="false">AC194*AE194+AD194*AF194</f>
        <v>2275200</v>
      </c>
      <c r="AH194" s="67" t="n">
        <f aca="false">AG194*Commission</f>
        <v>56880</v>
      </c>
      <c r="AI194" s="67" t="n">
        <f aca="false">Y194+Z194+AA194+AB194+MiscVoy</f>
        <v>955927.217595542</v>
      </c>
      <c r="AJ194" s="77" t="n">
        <f aca="false">N194+U194+V194+W194</f>
        <v>52</v>
      </c>
      <c r="AK194" s="94" t="n">
        <f aca="false">(AG194-AH194-AI194)/AJ194</f>
        <v>24276.7842770088</v>
      </c>
      <c r="AL194" s="67" t="n">
        <f aca="false">AG194-AH194-AI194-Benchmark*AJ194</f>
        <v>326392.782404458</v>
      </c>
      <c r="AM194" s="82" t="n">
        <f aca="false">IF(AC194&gt;0,((Benchmark*AJ194+AI194)/(1-Commission)-AD194*AF194)/AC194,0)</f>
        <v>41.060070976891</v>
      </c>
      <c r="AN194" s="67" t="n">
        <f aca="false">LOA_ft*Port_Tariffs!$C$9*IF((INDEX(Routes!$L$6:$L$9,$C194)*INDEX(Routes!$X$6:$X$9,$C194)*F194)&lt;=2,(INDEX(Routes!$L$6:$L$9,$C194)*INDEX(Routes!$X$6:$X$9,$C194)*F194),IF((INDEX(Routes!$L$6:$L$9,$C194)*INDEX(Routes!$X$6:$X$9,$C194)*F194)&lt;=3,2+0.9*((INDEX(Routes!$L$6:$L$9,$C194)*INDEX(Routes!$X$6:$X$9,$C194)*F194)-2),IF((INDEX(Routes!$L$6:$L$9,$C194)*INDEX(Routes!$X$6:$X$9,$C194)*F194)&lt;=4,2.9+0.75*((INDEX(Routes!$L$6:$L$9,$C194)*INDEX(Routes!$X$6:$X$9,$C194)*F194)-3),IF((INDEX(Routes!$L$6:$L$9,$C194)*INDEX(Routes!$X$6:$X$9,$C194)*F194)&lt;=5,3.65+0.6*((INDEX(Routes!$L$6:$L$9,$C194)*INDEX(Routes!$X$6:$X$9,$C194)*F194)-4),4.25+0.5*((INDEX(Routes!$L$6:$L$9,$C194)*INDEX(Routes!$X$6:$X$9,$C194)*F194)-5)))))</f>
        <v>19557.6</v>
      </c>
      <c r="AO194" s="67" t="n">
        <f aca="false">LOA_ft*Port_Tariffs!$C$9*IF((INDEX(Routes!$M$6:$M$9,$C194)*INDEX(Routes!$Y$6:$Y$9,$C194)*F194)&lt;=2,(INDEX(Routes!$M$6:$M$9,$C194)*INDEX(Routes!$Y$6:$Y$9,$C194)*F194),IF((INDEX(Routes!$M$6:$M$9,$C194)*INDEX(Routes!$Y$6:$Y$9,$C194)*F194)&lt;=3,2+0.9*((INDEX(Routes!$M$6:$M$9,$C194)*INDEX(Routes!$Y$6:$Y$9,$C194)*F194)-2),IF((INDEX(Routes!$M$6:$M$9,$C194)*INDEX(Routes!$Y$6:$Y$9,$C194)*F194)&lt;=4,2.9+0.75*((INDEX(Routes!$M$6:$M$9,$C194)*INDEX(Routes!$Y$6:$Y$9,$C194)*F194)-3),IF((INDEX(Routes!$M$6:$M$9,$C194)*INDEX(Routes!$Y$6:$Y$9,$C194)*F194)&lt;=5,3.65+0.6*((INDEX(Routes!$M$6:$M$9,$C194)*INDEX(Routes!$Y$6:$Y$9,$C194)*F194)-4),4.25+0.5*((INDEX(Routes!$M$6:$M$9,$C194)*INDEX(Routes!$Y$6:$Y$9,$C194)*F194)-5)))))</f>
        <v>0</v>
      </c>
    </row>
    <row r="195" customFormat="false" ht="15" hidden="false" customHeight="false" outlineLevel="0" collapsed="false">
      <c r="A195" s="2" t="s">
        <v>691</v>
      </c>
      <c r="B195" s="2" t="s">
        <v>674</v>
      </c>
      <c r="C195" s="16" t="n">
        <f aca="false">Sw_Route</f>
        <v>1</v>
      </c>
      <c r="D195" s="70" t="n">
        <v>82</v>
      </c>
      <c r="E195" s="88" t="n">
        <f aca="false">FreightMult</f>
        <v>1</v>
      </c>
      <c r="F195" s="88" t="n">
        <f aca="false">PortMult</f>
        <v>1</v>
      </c>
      <c r="G195" s="89" t="n">
        <f aca="false">UtilFH</f>
        <v>0.85</v>
      </c>
      <c r="H195" s="89" t="n">
        <f aca="false">UtilBH</f>
        <v>0.5</v>
      </c>
      <c r="I195" s="95" t="n">
        <v>13</v>
      </c>
      <c r="J195" s="88" t="n">
        <f aca="false">PortCostMult</f>
        <v>1</v>
      </c>
      <c r="K195" s="90" t="n">
        <f aca="false">EUA</f>
        <v>75</v>
      </c>
      <c r="L195" s="71" t="n">
        <f aca="false">INDEX(Routes!$E$6:$E$9,$C195)</f>
        <v>5000</v>
      </c>
      <c r="M195" s="72" t="n">
        <f aca="false">INDEX(Routes!$F$6:$F$9,$C195)/L195</f>
        <v>0.13</v>
      </c>
      <c r="N195" s="77" t="n">
        <f aca="false">2*L195*(1+SeaMargin)/(I195*24)</f>
        <v>33.6538461538462</v>
      </c>
      <c r="O195" s="84" t="n">
        <f aca="false">(I195/RefSpeed)^SpeedExp</f>
        <v>0.892953309962912</v>
      </c>
      <c r="P195" s="2" t="n">
        <f aca="false">IF(H195&gt;0,1,0)</f>
        <v>1</v>
      </c>
      <c r="Q195" s="71" t="n">
        <f aca="false">N195/2*O195*(ConsLaden+IF(P195=1,ConsLaden,ConsBallast))</f>
        <v>811.385459533608</v>
      </c>
      <c r="R195" s="71" t="n">
        <f aca="false">Q195*(1-M195)</f>
        <v>705.905349794239</v>
      </c>
      <c r="S195" s="71" t="n">
        <f aca="false">Q195*M195</f>
        <v>105.480109739369</v>
      </c>
      <c r="T195" s="2" t="n">
        <f aca="false">1+P195</f>
        <v>2</v>
      </c>
      <c r="U195" s="77" t="n">
        <f aca="false">INDEX(Routes!$L$6:$L$9,$C195)*T195*F195</f>
        <v>10</v>
      </c>
      <c r="V195" s="77" t="n">
        <f aca="false">INDEX(Routes!$M$6:$M$9,$C195)*T195*F195</f>
        <v>7</v>
      </c>
      <c r="W195" s="77" t="n">
        <f aca="false">INDEX(Routes!$H$6:$H$9,$C195)*2</f>
        <v>0</v>
      </c>
      <c r="X195" s="71" t="n">
        <f aca="false">(U195+V195+W195)*ConsPort</f>
        <v>102</v>
      </c>
      <c r="Y195" s="67" t="n">
        <f aca="false">R195*D195*VLSFO_Mult+(S195+X195)*D195*MGO_Mult</f>
        <v>610738.317146776</v>
      </c>
      <c r="Z195" s="67" t="n">
        <f aca="false">(INDEX(Routes!$N$6:$N$9,$C195)+AN195+MIN(AC195*INDEX(Routes!$T$6:$T$9,$C195),INDEX(Routes!$V$6:$V$9,$C195))+INDEX(Routes!$O$6:$O$9,$C195)+AO195+MIN(AC195*INDEX(Routes!$U$6:$U$9,$C195),INDEX(Routes!$W$6:$W$9,$C195))+IF(P195=1,INDEX(Routes!$N$6:$N$9,$C195)+AN195+MIN(AD195*INDEX(Routes!$T$6:$T$9,$C195),INDEX(Routes!$V$6:$V$9,$C195))+INDEX(Routes!$O$6:$O$9,$C195)+AO195+MIN(AD195*INDEX(Routes!$U$6:$U$9,$C195),INDEX(Routes!$W$6:$W$9,$C195)),0))*J195</f>
        <v>252304.2096</v>
      </c>
      <c r="AA195" s="67" t="n">
        <f aca="false">INDEX(Routes!$R$6:$R$9,$C195)+IF(P195=1,INDEX(Routes!$R$6:$R$9,$C195),INDEX(Routes!$S$6:$S$9,$C195))</f>
        <v>0</v>
      </c>
      <c r="AB195" s="67" t="n">
        <f aca="false">((R195*CO2_VLSFO+S195*CO2_MGO)*INDEX(Routes!$I$6:$I$9,$C195)+(U195*INDEX(Routes!$P$6:$P$9,$C195)+V195*INDEX(Routes!$Q$6:$Q$9,$C195))*ConsPort*CO2_MGO)*PhaseIn*K195*FX</f>
        <v>115733.577757202</v>
      </c>
      <c r="AC195" s="71" t="n">
        <f aca="false">Capacity*G195</f>
        <v>30600</v>
      </c>
      <c r="AD195" s="71" t="n">
        <f aca="false">Capacity*H195</f>
        <v>18000</v>
      </c>
      <c r="AE195" s="82" t="n">
        <f aca="false">INDEX(Routes!$J$6:$J$9,$C195)*E195</f>
        <v>52</v>
      </c>
      <c r="AF195" s="82" t="n">
        <f aca="false">INDEX(Routes!$K$6:$K$9,$C195)*E195</f>
        <v>38</v>
      </c>
      <c r="AG195" s="67" t="n">
        <f aca="false">AC195*AE195+AD195*AF195</f>
        <v>2275200</v>
      </c>
      <c r="AH195" s="67" t="n">
        <f aca="false">AG195*Commission</f>
        <v>56880</v>
      </c>
      <c r="AI195" s="67" t="n">
        <f aca="false">Y195+Z195+AA195+AB195+MiscVoy</f>
        <v>1003776.10450398</v>
      </c>
      <c r="AJ195" s="77" t="n">
        <f aca="false">N195+U195+V195+W195</f>
        <v>50.6538461538462</v>
      </c>
      <c r="AK195" s="94" t="n">
        <f aca="false">(AG195-AH195-AI195)/AJ195</f>
        <v>23977.328233027</v>
      </c>
      <c r="AL195" s="67" t="n">
        <f aca="false">AG195-AH195-AI195-Benchmark*AJ195</f>
        <v>302774.664726791</v>
      </c>
      <c r="AM195" s="82" t="n">
        <f aca="false">IF(AC195&gt;0,((Benchmark*AJ195+AI195)/(1-Commission)-AD195*AF195)/AC195,0)</f>
        <v>41.8516955010293</v>
      </c>
      <c r="AN195" s="67" t="n">
        <f aca="false">LOA_ft*Port_Tariffs!$C$9*IF((INDEX(Routes!$L$6:$L$9,$C195)*INDEX(Routes!$X$6:$X$9,$C195)*F195)&lt;=2,(INDEX(Routes!$L$6:$L$9,$C195)*INDEX(Routes!$X$6:$X$9,$C195)*F195),IF((INDEX(Routes!$L$6:$L$9,$C195)*INDEX(Routes!$X$6:$X$9,$C195)*F195)&lt;=3,2+0.9*((INDEX(Routes!$L$6:$L$9,$C195)*INDEX(Routes!$X$6:$X$9,$C195)*F195)-2),IF((INDEX(Routes!$L$6:$L$9,$C195)*INDEX(Routes!$X$6:$X$9,$C195)*F195)&lt;=4,2.9+0.75*((INDEX(Routes!$L$6:$L$9,$C195)*INDEX(Routes!$X$6:$X$9,$C195)*F195)-3),IF((INDEX(Routes!$L$6:$L$9,$C195)*INDEX(Routes!$X$6:$X$9,$C195)*F195)&lt;=5,3.65+0.6*((INDEX(Routes!$L$6:$L$9,$C195)*INDEX(Routes!$X$6:$X$9,$C195)*F195)-4),4.25+0.5*((INDEX(Routes!$L$6:$L$9,$C195)*INDEX(Routes!$X$6:$X$9,$C195)*F195)-5)))))</f>
        <v>19557.6</v>
      </c>
      <c r="AO195" s="67" t="n">
        <f aca="false">LOA_ft*Port_Tariffs!$C$9*IF((INDEX(Routes!$M$6:$M$9,$C195)*INDEX(Routes!$Y$6:$Y$9,$C195)*F195)&lt;=2,(INDEX(Routes!$M$6:$M$9,$C195)*INDEX(Routes!$Y$6:$Y$9,$C195)*F195),IF((INDEX(Routes!$M$6:$M$9,$C195)*INDEX(Routes!$Y$6:$Y$9,$C195)*F195)&lt;=3,2+0.9*((INDEX(Routes!$M$6:$M$9,$C195)*INDEX(Routes!$Y$6:$Y$9,$C195)*F195)-2),IF((INDEX(Routes!$M$6:$M$9,$C195)*INDEX(Routes!$Y$6:$Y$9,$C195)*F195)&lt;=4,2.9+0.75*((INDEX(Routes!$M$6:$M$9,$C195)*INDEX(Routes!$Y$6:$Y$9,$C195)*F195)-3),IF((INDEX(Routes!$M$6:$M$9,$C195)*INDEX(Routes!$Y$6:$Y$9,$C195)*F195)&lt;=5,3.65+0.6*((INDEX(Routes!$M$6:$M$9,$C195)*INDEX(Routes!$Y$6:$Y$9,$C195)*F195)-4),4.25+0.5*((INDEX(Routes!$M$6:$M$9,$C195)*INDEX(Routes!$Y$6:$Y$9,$C195)*F195)-5)))))</f>
        <v>0</v>
      </c>
    </row>
    <row r="196" customFormat="false" ht="15" hidden="false" customHeight="false" outlineLevel="0" collapsed="false">
      <c r="A196" s="2" t="s">
        <v>692</v>
      </c>
      <c r="B196" s="2" t="s">
        <v>674</v>
      </c>
      <c r="C196" s="16" t="n">
        <f aca="false">Sw_Route</f>
        <v>1</v>
      </c>
      <c r="D196" s="70" t="n">
        <v>82</v>
      </c>
      <c r="E196" s="88" t="n">
        <f aca="false">FreightMult</f>
        <v>1</v>
      </c>
      <c r="F196" s="88" t="n">
        <f aca="false">PortMult</f>
        <v>1</v>
      </c>
      <c r="G196" s="89" t="n">
        <f aca="false">UtilFH</f>
        <v>0.85</v>
      </c>
      <c r="H196" s="89" t="n">
        <f aca="false">UtilBH</f>
        <v>0.5</v>
      </c>
      <c r="I196" s="95" t="n">
        <v>13.5</v>
      </c>
      <c r="J196" s="88" t="n">
        <f aca="false">PortCostMult</f>
        <v>1</v>
      </c>
      <c r="K196" s="90" t="n">
        <f aca="false">EUA</f>
        <v>75</v>
      </c>
      <c r="L196" s="71" t="n">
        <f aca="false">INDEX(Routes!$E$6:$E$9,$C196)</f>
        <v>5000</v>
      </c>
      <c r="M196" s="72" t="n">
        <f aca="false">INDEX(Routes!$F$6:$F$9,$C196)/L196</f>
        <v>0.13</v>
      </c>
      <c r="N196" s="77" t="n">
        <f aca="false">2*L196*(1+SeaMargin)/(I196*24)</f>
        <v>32.4074074074074</v>
      </c>
      <c r="O196" s="84" t="n">
        <f aca="false">(I196/RefSpeed)^SpeedExp</f>
        <v>1</v>
      </c>
      <c r="P196" s="2" t="n">
        <f aca="false">IF(H196&gt;0,1,0)</f>
        <v>1</v>
      </c>
      <c r="Q196" s="71" t="n">
        <f aca="false">N196/2*O196*(ConsLaden+IF(P196=1,ConsLaden,ConsBallast))</f>
        <v>875</v>
      </c>
      <c r="R196" s="71" t="n">
        <f aca="false">Q196*(1-M196)</f>
        <v>761.25</v>
      </c>
      <c r="S196" s="71" t="n">
        <f aca="false">Q196*M196</f>
        <v>113.75</v>
      </c>
      <c r="T196" s="2" t="n">
        <f aca="false">1+P196</f>
        <v>2</v>
      </c>
      <c r="U196" s="77" t="n">
        <f aca="false">INDEX(Routes!$L$6:$L$9,$C196)*T196*F196</f>
        <v>10</v>
      </c>
      <c r="V196" s="77" t="n">
        <f aca="false">INDEX(Routes!$M$6:$M$9,$C196)*T196*F196</f>
        <v>7</v>
      </c>
      <c r="W196" s="77" t="n">
        <f aca="false">INDEX(Routes!$H$6:$H$9,$C196)*2</f>
        <v>0</v>
      </c>
      <c r="X196" s="71" t="n">
        <f aca="false">(U196+V196+W196)*ConsPort</f>
        <v>102</v>
      </c>
      <c r="Y196" s="67" t="n">
        <f aca="false">R196*D196*VLSFO_Mult+(S196+X196)*D196*MGO_Mult</f>
        <v>652260.8</v>
      </c>
      <c r="Z196" s="67" t="n">
        <f aca="false">(INDEX(Routes!$N$6:$N$9,$C196)+AN196+MIN(AC196*INDEX(Routes!$T$6:$T$9,$C196),INDEX(Routes!$V$6:$V$9,$C196))+INDEX(Routes!$O$6:$O$9,$C196)+AO196+MIN(AC196*INDEX(Routes!$U$6:$U$9,$C196),INDEX(Routes!$W$6:$W$9,$C196))+IF(P196=1,INDEX(Routes!$N$6:$N$9,$C196)+AN196+MIN(AD196*INDEX(Routes!$T$6:$T$9,$C196),INDEX(Routes!$V$6:$V$9,$C196))+INDEX(Routes!$O$6:$O$9,$C196)+AO196+MIN(AD196*INDEX(Routes!$U$6:$U$9,$C196),INDEX(Routes!$W$6:$W$9,$C196)),0))*J196</f>
        <v>252304.2096</v>
      </c>
      <c r="AA196" s="67" t="n">
        <f aca="false">INDEX(Routes!$R$6:$R$9,$C196)+IF(P196=1,INDEX(Routes!$R$6:$R$9,$C196),INDEX(Routes!$S$6:$S$9,$C196))</f>
        <v>0</v>
      </c>
      <c r="AB196" s="67" t="n">
        <f aca="false">((R196*CO2_VLSFO+S196*CO2_MGO)*INDEX(Routes!$I$6:$I$9,$C196)+(U196*INDEX(Routes!$P$6:$P$9,$C196)+V196*INDEX(Routes!$Q$6:$Q$9,$C196))*ConsPort*CO2_MGO)*PhaseIn*K196*FX</f>
        <v>123936.40875</v>
      </c>
      <c r="AC196" s="71" t="n">
        <f aca="false">Capacity*G196</f>
        <v>30600</v>
      </c>
      <c r="AD196" s="71" t="n">
        <f aca="false">Capacity*H196</f>
        <v>18000</v>
      </c>
      <c r="AE196" s="82" t="n">
        <f aca="false">INDEX(Routes!$J$6:$J$9,$C196)*E196</f>
        <v>52</v>
      </c>
      <c r="AF196" s="82" t="n">
        <f aca="false">INDEX(Routes!$K$6:$K$9,$C196)*E196</f>
        <v>38</v>
      </c>
      <c r="AG196" s="67" t="n">
        <f aca="false">AC196*AE196+AD196*AF196</f>
        <v>2275200</v>
      </c>
      <c r="AH196" s="67" t="n">
        <f aca="false">AG196*Commission</f>
        <v>56880</v>
      </c>
      <c r="AI196" s="67" t="n">
        <f aca="false">Y196+Z196+AA196+AB196+MiscVoy</f>
        <v>1053501.41835</v>
      </c>
      <c r="AJ196" s="77" t="n">
        <f aca="false">N196+U196+V196+W196</f>
        <v>49.4074074074074</v>
      </c>
      <c r="AK196" s="94" t="n">
        <f aca="false">(AG196-AH196-AI196)/AJ196</f>
        <v>23575.7883842204</v>
      </c>
      <c r="AL196" s="67" t="n">
        <f aca="false">AG196-AH196-AI196-Benchmark*AJ196</f>
        <v>275485.248316667</v>
      </c>
      <c r="AM196" s="82" t="n">
        <f aca="false">IF(AC196&gt;0,((Benchmark*AJ196+AI196)/(1-Commission)-AD196*AF196)/AC196,0)</f>
        <v>42.7663734433831</v>
      </c>
      <c r="AN196" s="67" t="n">
        <f aca="false">LOA_ft*Port_Tariffs!$C$9*IF((INDEX(Routes!$L$6:$L$9,$C196)*INDEX(Routes!$X$6:$X$9,$C196)*F196)&lt;=2,(INDEX(Routes!$L$6:$L$9,$C196)*INDEX(Routes!$X$6:$X$9,$C196)*F196),IF((INDEX(Routes!$L$6:$L$9,$C196)*INDEX(Routes!$X$6:$X$9,$C196)*F196)&lt;=3,2+0.9*((INDEX(Routes!$L$6:$L$9,$C196)*INDEX(Routes!$X$6:$X$9,$C196)*F196)-2),IF((INDEX(Routes!$L$6:$L$9,$C196)*INDEX(Routes!$X$6:$X$9,$C196)*F196)&lt;=4,2.9+0.75*((INDEX(Routes!$L$6:$L$9,$C196)*INDEX(Routes!$X$6:$X$9,$C196)*F196)-3),IF((INDEX(Routes!$L$6:$L$9,$C196)*INDEX(Routes!$X$6:$X$9,$C196)*F196)&lt;=5,3.65+0.6*((INDEX(Routes!$L$6:$L$9,$C196)*INDEX(Routes!$X$6:$X$9,$C196)*F196)-4),4.25+0.5*((INDEX(Routes!$L$6:$L$9,$C196)*INDEX(Routes!$X$6:$X$9,$C196)*F196)-5)))))</f>
        <v>19557.6</v>
      </c>
      <c r="AO196" s="67" t="n">
        <f aca="false">LOA_ft*Port_Tariffs!$C$9*IF((INDEX(Routes!$M$6:$M$9,$C196)*INDEX(Routes!$Y$6:$Y$9,$C196)*F196)&lt;=2,(INDEX(Routes!$M$6:$M$9,$C196)*INDEX(Routes!$Y$6:$Y$9,$C196)*F196),IF((INDEX(Routes!$M$6:$M$9,$C196)*INDEX(Routes!$Y$6:$Y$9,$C196)*F196)&lt;=3,2+0.9*((INDEX(Routes!$M$6:$M$9,$C196)*INDEX(Routes!$Y$6:$Y$9,$C196)*F196)-2),IF((INDEX(Routes!$M$6:$M$9,$C196)*INDEX(Routes!$Y$6:$Y$9,$C196)*F196)&lt;=4,2.9+0.75*((INDEX(Routes!$M$6:$M$9,$C196)*INDEX(Routes!$Y$6:$Y$9,$C196)*F196)-3),IF((INDEX(Routes!$M$6:$M$9,$C196)*INDEX(Routes!$Y$6:$Y$9,$C196)*F196)&lt;=5,3.65+0.6*((INDEX(Routes!$M$6:$M$9,$C196)*INDEX(Routes!$Y$6:$Y$9,$C196)*F196)-4),4.25+0.5*((INDEX(Routes!$M$6:$M$9,$C196)*INDEX(Routes!$Y$6:$Y$9,$C196)*F196)-5)))))</f>
        <v>0</v>
      </c>
    </row>
    <row r="197" customFormat="false" ht="15" hidden="false" customHeight="false" outlineLevel="0" collapsed="false">
      <c r="A197" s="2" t="s">
        <v>693</v>
      </c>
      <c r="B197" s="2" t="s">
        <v>674</v>
      </c>
      <c r="C197" s="16" t="n">
        <f aca="false">Sw_Route</f>
        <v>1</v>
      </c>
      <c r="D197" s="70" t="n">
        <v>82</v>
      </c>
      <c r="E197" s="88" t="n">
        <f aca="false">FreightMult</f>
        <v>1</v>
      </c>
      <c r="F197" s="88" t="n">
        <f aca="false">PortMult</f>
        <v>1</v>
      </c>
      <c r="G197" s="89" t="n">
        <f aca="false">UtilFH</f>
        <v>0.85</v>
      </c>
      <c r="H197" s="89" t="n">
        <f aca="false">UtilBH</f>
        <v>0.5</v>
      </c>
      <c r="I197" s="95" t="n">
        <v>14</v>
      </c>
      <c r="J197" s="88" t="n">
        <f aca="false">PortCostMult</f>
        <v>1</v>
      </c>
      <c r="K197" s="90" t="n">
        <f aca="false">EUA</f>
        <v>75</v>
      </c>
      <c r="L197" s="71" t="n">
        <f aca="false">INDEX(Routes!$E$6:$E$9,$C197)</f>
        <v>5000</v>
      </c>
      <c r="M197" s="72" t="n">
        <f aca="false">INDEX(Routes!$F$6:$F$9,$C197)/L197</f>
        <v>0.13</v>
      </c>
      <c r="N197" s="77" t="n">
        <f aca="false">2*L197*(1+SeaMargin)/(I197*24)</f>
        <v>31.25</v>
      </c>
      <c r="O197" s="84" t="n">
        <f aca="false">(I197/RefSpeed)^SpeedExp</f>
        <v>1.11527714271198</v>
      </c>
      <c r="P197" s="2" t="n">
        <f aca="false">IF(H197&gt;0,1,0)</f>
        <v>1</v>
      </c>
      <c r="Q197" s="71" t="n">
        <f aca="false">N197/2*O197*(ConsLaden+IF(P197=1,ConsLaden,ConsBallast))</f>
        <v>941.015089163237</v>
      </c>
      <c r="R197" s="71" t="n">
        <f aca="false">Q197*(1-M197)</f>
        <v>818.683127572016</v>
      </c>
      <c r="S197" s="71" t="n">
        <f aca="false">Q197*M197</f>
        <v>122.331961591221</v>
      </c>
      <c r="T197" s="2" t="n">
        <f aca="false">1+P197</f>
        <v>2</v>
      </c>
      <c r="U197" s="77" t="n">
        <f aca="false">INDEX(Routes!$L$6:$L$9,$C197)*T197*F197</f>
        <v>10</v>
      </c>
      <c r="V197" s="77" t="n">
        <f aca="false">INDEX(Routes!$M$6:$M$9,$C197)*T197*F197</f>
        <v>7</v>
      </c>
      <c r="W197" s="77" t="n">
        <f aca="false">INDEX(Routes!$H$6:$H$9,$C197)*2</f>
        <v>0</v>
      </c>
      <c r="X197" s="71" t="n">
        <f aca="false">(U197+V197+W197)*ConsPort</f>
        <v>102</v>
      </c>
      <c r="Y197" s="67" t="n">
        <f aca="false">R197*D197*VLSFO_Mult+(S197+X197)*D197*MGO_Mult</f>
        <v>695350.168998628</v>
      </c>
      <c r="Z197" s="67" t="n">
        <f aca="false">(INDEX(Routes!$N$6:$N$9,$C197)+AN197+MIN(AC197*INDEX(Routes!$T$6:$T$9,$C197),INDEX(Routes!$V$6:$V$9,$C197))+INDEX(Routes!$O$6:$O$9,$C197)+AO197+MIN(AC197*INDEX(Routes!$U$6:$U$9,$C197),INDEX(Routes!$W$6:$W$9,$C197))+IF(P197=1,INDEX(Routes!$N$6:$N$9,$C197)+AN197+MIN(AD197*INDEX(Routes!$T$6:$T$9,$C197),INDEX(Routes!$V$6:$V$9,$C197))+INDEX(Routes!$O$6:$O$9,$C197)+AO197+MIN(AD197*INDEX(Routes!$U$6:$U$9,$C197),INDEX(Routes!$W$6:$W$9,$C197)),0))*J197</f>
        <v>252304.2096</v>
      </c>
      <c r="AA197" s="67" t="n">
        <f aca="false">INDEX(Routes!$R$6:$R$9,$C197)+IF(P197=1,INDEX(Routes!$R$6:$R$9,$C197),INDEX(Routes!$S$6:$S$9,$C197))</f>
        <v>0</v>
      </c>
      <c r="AB197" s="67" t="n">
        <f aca="false">((R197*CO2_VLSFO+S197*CO2_MGO)*INDEX(Routes!$I$6:$I$9,$C197)+(U197*INDEX(Routes!$P$6:$P$9,$C197)+V197*INDEX(Routes!$Q$6:$Q$9,$C197))*ConsPort*CO2_MGO)*PhaseIn*K197*FX</f>
        <v>132448.780534979</v>
      </c>
      <c r="AC197" s="71" t="n">
        <f aca="false">Capacity*G197</f>
        <v>30600</v>
      </c>
      <c r="AD197" s="71" t="n">
        <f aca="false">Capacity*H197</f>
        <v>18000</v>
      </c>
      <c r="AE197" s="82" t="n">
        <f aca="false">INDEX(Routes!$J$6:$J$9,$C197)*E197</f>
        <v>52</v>
      </c>
      <c r="AF197" s="82" t="n">
        <f aca="false">INDEX(Routes!$K$6:$K$9,$C197)*E197</f>
        <v>38</v>
      </c>
      <c r="AG197" s="67" t="n">
        <f aca="false">AC197*AE197+AD197*AF197</f>
        <v>2275200</v>
      </c>
      <c r="AH197" s="67" t="n">
        <f aca="false">AG197*Commission</f>
        <v>56880</v>
      </c>
      <c r="AI197" s="67" t="n">
        <f aca="false">Y197+Z197+AA197+AB197+MiscVoy</f>
        <v>1105103.15913361</v>
      </c>
      <c r="AJ197" s="77" t="n">
        <f aca="false">N197+U197+V197+W197</f>
        <v>48.25</v>
      </c>
      <c r="AK197" s="94" t="n">
        <f aca="false">(AG197-AH197-AI197)/AJ197</f>
        <v>23071.8516241739</v>
      </c>
      <c r="AL197" s="67" t="n">
        <f aca="false">AG197-AH197-AI197-Benchmark*AJ197</f>
        <v>244716.840866392</v>
      </c>
      <c r="AM197" s="82" t="n">
        <f aca="false">IF(AC197&gt;0,((Benchmark*AJ197+AI197)/(1-Commission)-AD197*AF197)/AC197,0)</f>
        <v>43.7976590961491</v>
      </c>
      <c r="AN197" s="67" t="n">
        <f aca="false">LOA_ft*Port_Tariffs!$C$9*IF((INDEX(Routes!$L$6:$L$9,$C197)*INDEX(Routes!$X$6:$X$9,$C197)*F197)&lt;=2,(INDEX(Routes!$L$6:$L$9,$C197)*INDEX(Routes!$X$6:$X$9,$C197)*F197),IF((INDEX(Routes!$L$6:$L$9,$C197)*INDEX(Routes!$X$6:$X$9,$C197)*F197)&lt;=3,2+0.9*((INDEX(Routes!$L$6:$L$9,$C197)*INDEX(Routes!$X$6:$X$9,$C197)*F197)-2),IF((INDEX(Routes!$L$6:$L$9,$C197)*INDEX(Routes!$X$6:$X$9,$C197)*F197)&lt;=4,2.9+0.75*((INDEX(Routes!$L$6:$L$9,$C197)*INDEX(Routes!$X$6:$X$9,$C197)*F197)-3),IF((INDEX(Routes!$L$6:$L$9,$C197)*INDEX(Routes!$X$6:$X$9,$C197)*F197)&lt;=5,3.65+0.6*((INDEX(Routes!$L$6:$L$9,$C197)*INDEX(Routes!$X$6:$X$9,$C197)*F197)-4),4.25+0.5*((INDEX(Routes!$L$6:$L$9,$C197)*INDEX(Routes!$X$6:$X$9,$C197)*F197)-5)))))</f>
        <v>19557.6</v>
      </c>
      <c r="AO197" s="67" t="n">
        <f aca="false">LOA_ft*Port_Tariffs!$C$9*IF((INDEX(Routes!$M$6:$M$9,$C197)*INDEX(Routes!$Y$6:$Y$9,$C197)*F197)&lt;=2,(INDEX(Routes!$M$6:$M$9,$C197)*INDEX(Routes!$Y$6:$Y$9,$C197)*F197),IF((INDEX(Routes!$M$6:$M$9,$C197)*INDEX(Routes!$Y$6:$Y$9,$C197)*F197)&lt;=3,2+0.9*((INDEX(Routes!$M$6:$M$9,$C197)*INDEX(Routes!$Y$6:$Y$9,$C197)*F197)-2),IF((INDEX(Routes!$M$6:$M$9,$C197)*INDEX(Routes!$Y$6:$Y$9,$C197)*F197)&lt;=4,2.9+0.75*((INDEX(Routes!$M$6:$M$9,$C197)*INDEX(Routes!$Y$6:$Y$9,$C197)*F197)-3),IF((INDEX(Routes!$M$6:$M$9,$C197)*INDEX(Routes!$Y$6:$Y$9,$C197)*F197)&lt;=5,3.65+0.6*((INDEX(Routes!$M$6:$M$9,$C197)*INDEX(Routes!$Y$6:$Y$9,$C197)*F197)-4),4.25+0.5*((INDEX(Routes!$M$6:$M$9,$C197)*INDEX(Routes!$Y$6:$Y$9,$C197)*F197)-5)))))</f>
        <v>0</v>
      </c>
    </row>
    <row r="198" customFormat="false" ht="15" hidden="false" customHeight="false" outlineLevel="0" collapsed="false">
      <c r="A198" s="2" t="s">
        <v>694</v>
      </c>
      <c r="B198" s="2" t="s">
        <v>674</v>
      </c>
      <c r="C198" s="16" t="n">
        <f aca="false">Sw_Route</f>
        <v>1</v>
      </c>
      <c r="D198" s="70" t="n">
        <v>82</v>
      </c>
      <c r="E198" s="88" t="n">
        <f aca="false">FreightMult</f>
        <v>1</v>
      </c>
      <c r="F198" s="88" t="n">
        <f aca="false">PortMult</f>
        <v>1</v>
      </c>
      <c r="G198" s="89" t="n">
        <f aca="false">UtilFH</f>
        <v>0.85</v>
      </c>
      <c r="H198" s="89" t="n">
        <f aca="false">UtilBH</f>
        <v>0.5</v>
      </c>
      <c r="I198" s="95" t="n">
        <v>14.5</v>
      </c>
      <c r="J198" s="88" t="n">
        <f aca="false">PortCostMult</f>
        <v>1</v>
      </c>
      <c r="K198" s="90" t="n">
        <f aca="false">EUA</f>
        <v>75</v>
      </c>
      <c r="L198" s="71" t="n">
        <f aca="false">INDEX(Routes!$E$6:$E$9,$C198)</f>
        <v>5000</v>
      </c>
      <c r="M198" s="72" t="n">
        <f aca="false">INDEX(Routes!$F$6:$F$9,$C198)/L198</f>
        <v>0.13</v>
      </c>
      <c r="N198" s="77" t="n">
        <f aca="false">2*L198*(1+SeaMargin)/(I198*24)</f>
        <v>30.1724137931035</v>
      </c>
      <c r="O198" s="84" t="n">
        <f aca="false">(I198/RefSpeed)^SpeedExp</f>
        <v>1.23908956967942</v>
      </c>
      <c r="P198" s="2" t="n">
        <f aca="false">IF(H198&gt;0,1,0)</f>
        <v>1</v>
      </c>
      <c r="Q198" s="71" t="n">
        <f aca="false">N198/2*O198*(ConsLaden+IF(P198=1,ConsLaden,ConsBallast))</f>
        <v>1009.43072702332</v>
      </c>
      <c r="R198" s="71" t="n">
        <f aca="false">Q198*(1-M198)</f>
        <v>878.204732510288</v>
      </c>
      <c r="S198" s="71" t="n">
        <f aca="false">Q198*M198</f>
        <v>131.225994513032</v>
      </c>
      <c r="T198" s="2" t="n">
        <f aca="false">1+P198</f>
        <v>2</v>
      </c>
      <c r="U198" s="77" t="n">
        <f aca="false">INDEX(Routes!$L$6:$L$9,$C198)*T198*F198</f>
        <v>10</v>
      </c>
      <c r="V198" s="77" t="n">
        <f aca="false">INDEX(Routes!$M$6:$M$9,$C198)*T198*F198</f>
        <v>7</v>
      </c>
      <c r="W198" s="77" t="n">
        <f aca="false">INDEX(Routes!$H$6:$H$9,$C198)*2</f>
        <v>0</v>
      </c>
      <c r="X198" s="71" t="n">
        <f aca="false">(U198+V198+W198)*ConsPort</f>
        <v>102</v>
      </c>
      <c r="Y198" s="67" t="n">
        <f aca="false">R198*D198*VLSFO_Mult+(S198+X198)*D198*MGO_Mult</f>
        <v>740006.424142661</v>
      </c>
      <c r="Z198" s="67" t="n">
        <f aca="false">(INDEX(Routes!$N$6:$N$9,$C198)+AN198+MIN(AC198*INDEX(Routes!$T$6:$T$9,$C198),INDEX(Routes!$V$6:$V$9,$C198))+INDEX(Routes!$O$6:$O$9,$C198)+AO198+MIN(AC198*INDEX(Routes!$U$6:$U$9,$C198),INDEX(Routes!$W$6:$W$9,$C198))+IF(P198=1,INDEX(Routes!$N$6:$N$9,$C198)+AN198+MIN(AD198*INDEX(Routes!$T$6:$T$9,$C198),INDEX(Routes!$V$6:$V$9,$C198))+INDEX(Routes!$O$6:$O$9,$C198)+AO198+MIN(AD198*INDEX(Routes!$U$6:$U$9,$C198),INDEX(Routes!$W$6:$W$9,$C198)),0))*J198</f>
        <v>252304.2096</v>
      </c>
      <c r="AA198" s="67" t="n">
        <f aca="false">INDEX(Routes!$R$6:$R$9,$C198)+IF(P198=1,INDEX(Routes!$R$6:$R$9,$C198),INDEX(Routes!$S$6:$S$9,$C198))</f>
        <v>0</v>
      </c>
      <c r="AB198" s="67" t="n">
        <f aca="false">((R198*CO2_VLSFO+S198*CO2_MGO)*INDEX(Routes!$I$6:$I$9,$C198)+(U198*INDEX(Routes!$P$6:$P$9,$C198)+V198*INDEX(Routes!$Q$6:$Q$9,$C198))*ConsPort*CO2_MGO)*PhaseIn*K198*FX</f>
        <v>141270.69311214</v>
      </c>
      <c r="AC198" s="71" t="n">
        <f aca="false">Capacity*G198</f>
        <v>30600</v>
      </c>
      <c r="AD198" s="71" t="n">
        <f aca="false">Capacity*H198</f>
        <v>18000</v>
      </c>
      <c r="AE198" s="82" t="n">
        <f aca="false">INDEX(Routes!$J$6:$J$9,$C198)*E198</f>
        <v>52</v>
      </c>
      <c r="AF198" s="82" t="n">
        <f aca="false">INDEX(Routes!$K$6:$K$9,$C198)*E198</f>
        <v>38</v>
      </c>
      <c r="AG198" s="67" t="n">
        <f aca="false">AC198*AE198+AD198*AF198</f>
        <v>2275200</v>
      </c>
      <c r="AH198" s="67" t="n">
        <f aca="false">AG198*Commission</f>
        <v>56880</v>
      </c>
      <c r="AI198" s="67" t="n">
        <f aca="false">Y198+Z198+AA198+AB198+MiscVoy</f>
        <v>1158581.3268548</v>
      </c>
      <c r="AJ198" s="77" t="n">
        <f aca="false">N198+U198+V198+W198</f>
        <v>47.1724137931034</v>
      </c>
      <c r="AK198" s="94" t="n">
        <f aca="false">(AG198-AH198-AI198)/AJ198</f>
        <v>22465.2204102418</v>
      </c>
      <c r="AL198" s="67" t="n">
        <f aca="false">AG198-AH198-AI198-Benchmark*AJ198</f>
        <v>210635.224869337</v>
      </c>
      <c r="AM198" s="82" t="n">
        <f aca="false">IF(AC198&gt;0,((Benchmark*AJ198+AI198)/(1-Commission)-AD198*AF198)/AC198,0)</f>
        <v>44.9399958146695</v>
      </c>
      <c r="AN198" s="67" t="n">
        <f aca="false">LOA_ft*Port_Tariffs!$C$9*IF((INDEX(Routes!$L$6:$L$9,$C198)*INDEX(Routes!$X$6:$X$9,$C198)*F198)&lt;=2,(INDEX(Routes!$L$6:$L$9,$C198)*INDEX(Routes!$X$6:$X$9,$C198)*F198),IF((INDEX(Routes!$L$6:$L$9,$C198)*INDEX(Routes!$X$6:$X$9,$C198)*F198)&lt;=3,2+0.9*((INDEX(Routes!$L$6:$L$9,$C198)*INDEX(Routes!$X$6:$X$9,$C198)*F198)-2),IF((INDEX(Routes!$L$6:$L$9,$C198)*INDEX(Routes!$X$6:$X$9,$C198)*F198)&lt;=4,2.9+0.75*((INDEX(Routes!$L$6:$L$9,$C198)*INDEX(Routes!$X$6:$X$9,$C198)*F198)-3),IF((INDEX(Routes!$L$6:$L$9,$C198)*INDEX(Routes!$X$6:$X$9,$C198)*F198)&lt;=5,3.65+0.6*((INDEX(Routes!$L$6:$L$9,$C198)*INDEX(Routes!$X$6:$X$9,$C198)*F198)-4),4.25+0.5*((INDEX(Routes!$L$6:$L$9,$C198)*INDEX(Routes!$X$6:$X$9,$C198)*F198)-5)))))</f>
        <v>19557.6</v>
      </c>
      <c r="AO198" s="67" t="n">
        <f aca="false">LOA_ft*Port_Tariffs!$C$9*IF((INDEX(Routes!$M$6:$M$9,$C198)*INDEX(Routes!$Y$6:$Y$9,$C198)*F198)&lt;=2,(INDEX(Routes!$M$6:$M$9,$C198)*INDEX(Routes!$Y$6:$Y$9,$C198)*F198),IF((INDEX(Routes!$M$6:$M$9,$C198)*INDEX(Routes!$Y$6:$Y$9,$C198)*F198)&lt;=3,2+0.9*((INDEX(Routes!$M$6:$M$9,$C198)*INDEX(Routes!$Y$6:$Y$9,$C198)*F198)-2),IF((INDEX(Routes!$M$6:$M$9,$C198)*INDEX(Routes!$Y$6:$Y$9,$C198)*F198)&lt;=4,2.9+0.75*((INDEX(Routes!$M$6:$M$9,$C198)*INDEX(Routes!$Y$6:$Y$9,$C198)*F198)-3),IF((INDEX(Routes!$M$6:$M$9,$C198)*INDEX(Routes!$Y$6:$Y$9,$C198)*F198)&lt;=5,3.65+0.6*((INDEX(Routes!$M$6:$M$9,$C198)*INDEX(Routes!$Y$6:$Y$9,$C198)*F198)-4),4.25+0.5*((INDEX(Routes!$M$6:$M$9,$C198)*INDEX(Routes!$Y$6:$Y$9,$C198)*F198)-5)))))</f>
        <v>0</v>
      </c>
    </row>
    <row r="199" customFormat="false" ht="15" hidden="false" customHeight="false" outlineLevel="0" collapsed="false">
      <c r="A199" s="2" t="s">
        <v>695</v>
      </c>
      <c r="B199" s="2" t="s">
        <v>674</v>
      </c>
      <c r="C199" s="16" t="n">
        <f aca="false">Sw_Route</f>
        <v>1</v>
      </c>
      <c r="D199" s="70" t="n">
        <v>82</v>
      </c>
      <c r="E199" s="88" t="n">
        <f aca="false">FreightMult</f>
        <v>1</v>
      </c>
      <c r="F199" s="88" t="n">
        <f aca="false">PortMult</f>
        <v>1</v>
      </c>
      <c r="G199" s="89" t="n">
        <f aca="false">UtilFH</f>
        <v>0.85</v>
      </c>
      <c r="H199" s="89" t="n">
        <f aca="false">UtilBH</f>
        <v>0.5</v>
      </c>
      <c r="I199" s="95" t="n">
        <v>15</v>
      </c>
      <c r="J199" s="88" t="n">
        <f aca="false">PortCostMult</f>
        <v>1</v>
      </c>
      <c r="K199" s="90" t="n">
        <f aca="false">EUA</f>
        <v>75</v>
      </c>
      <c r="L199" s="71" t="n">
        <f aca="false">INDEX(Routes!$E$6:$E$9,$C199)</f>
        <v>5000</v>
      </c>
      <c r="M199" s="72" t="n">
        <f aca="false">INDEX(Routes!$F$6:$F$9,$C199)/L199</f>
        <v>0.13</v>
      </c>
      <c r="N199" s="77" t="n">
        <f aca="false">2*L199*(1+SeaMargin)/(I199*24)</f>
        <v>29.1666666666667</v>
      </c>
      <c r="O199" s="84" t="n">
        <f aca="false">(I199/RefSpeed)^SpeedExp</f>
        <v>1.37174211248285</v>
      </c>
      <c r="P199" s="2" t="n">
        <f aca="false">IF(H199&gt;0,1,0)</f>
        <v>1</v>
      </c>
      <c r="Q199" s="71" t="n">
        <f aca="false">N199/2*O199*(ConsLaden+IF(P199=1,ConsLaden,ConsBallast))</f>
        <v>1080.24691358025</v>
      </c>
      <c r="R199" s="71" t="n">
        <f aca="false">Q199*(1-M199)</f>
        <v>939.814814814815</v>
      </c>
      <c r="S199" s="71" t="n">
        <f aca="false">Q199*M199</f>
        <v>140.432098765432</v>
      </c>
      <c r="T199" s="2" t="n">
        <f aca="false">1+P199</f>
        <v>2</v>
      </c>
      <c r="U199" s="77" t="n">
        <f aca="false">INDEX(Routes!$L$6:$L$9,$C199)*T199*F199</f>
        <v>10</v>
      </c>
      <c r="V199" s="77" t="n">
        <f aca="false">INDEX(Routes!$M$6:$M$9,$C199)*T199*F199</f>
        <v>7</v>
      </c>
      <c r="W199" s="77" t="n">
        <f aca="false">INDEX(Routes!$H$6:$H$9,$C199)*2</f>
        <v>0</v>
      </c>
      <c r="X199" s="71" t="n">
        <f aca="false">(U199+V199+W199)*ConsPort</f>
        <v>102</v>
      </c>
      <c r="Y199" s="67" t="n">
        <f aca="false">R199*D199*VLSFO_Mult+(S199+X199)*D199*MGO_Mult</f>
        <v>786229.565432099</v>
      </c>
      <c r="Z199" s="67" t="n">
        <f aca="false">(INDEX(Routes!$N$6:$N$9,$C199)+AN199+MIN(AC199*INDEX(Routes!$T$6:$T$9,$C199),INDEX(Routes!$V$6:$V$9,$C199))+INDEX(Routes!$O$6:$O$9,$C199)+AO199+MIN(AC199*INDEX(Routes!$U$6:$U$9,$C199),INDEX(Routes!$W$6:$W$9,$C199))+IF(P199=1,INDEX(Routes!$N$6:$N$9,$C199)+AN199+MIN(AD199*INDEX(Routes!$T$6:$T$9,$C199),INDEX(Routes!$V$6:$V$9,$C199))+INDEX(Routes!$O$6:$O$9,$C199)+AO199+MIN(AD199*INDEX(Routes!$U$6:$U$9,$C199),INDEX(Routes!$W$6:$W$9,$C199)),0))*J199</f>
        <v>252304.2096</v>
      </c>
      <c r="AA199" s="67" t="n">
        <f aca="false">INDEX(Routes!$R$6:$R$9,$C199)+IF(P199=1,INDEX(Routes!$R$6:$R$9,$C199),INDEX(Routes!$S$6:$S$9,$C199))</f>
        <v>0</v>
      </c>
      <c r="AB199" s="67" t="n">
        <f aca="false">((R199*CO2_VLSFO+S199*CO2_MGO)*INDEX(Routes!$I$6:$I$9,$C199)+(U199*INDEX(Routes!$P$6:$P$9,$C199)+V199*INDEX(Routes!$Q$6:$Q$9,$C199))*ConsPort*CO2_MGO)*PhaseIn*K199*FX</f>
        <v>150402.146481482</v>
      </c>
      <c r="AC199" s="71" t="n">
        <f aca="false">Capacity*G199</f>
        <v>30600</v>
      </c>
      <c r="AD199" s="71" t="n">
        <f aca="false">Capacity*H199</f>
        <v>18000</v>
      </c>
      <c r="AE199" s="82" t="n">
        <f aca="false">INDEX(Routes!$J$6:$J$9,$C199)*E199</f>
        <v>52</v>
      </c>
      <c r="AF199" s="82" t="n">
        <f aca="false">INDEX(Routes!$K$6:$K$9,$C199)*E199</f>
        <v>38</v>
      </c>
      <c r="AG199" s="67" t="n">
        <f aca="false">AC199*AE199+AD199*AF199</f>
        <v>2275200</v>
      </c>
      <c r="AH199" s="67" t="n">
        <f aca="false">AG199*Commission</f>
        <v>56880</v>
      </c>
      <c r="AI199" s="67" t="n">
        <f aca="false">Y199+Z199+AA199+AB199+MiscVoy</f>
        <v>1213935.92151358</v>
      </c>
      <c r="AJ199" s="77" t="n">
        <f aca="false">N199+U199+V199+W199</f>
        <v>46.1666666666667</v>
      </c>
      <c r="AK199" s="94" t="n">
        <f aca="false">(AG199-AH199-AI199)/AJ199</f>
        <v>21755.6118083701</v>
      </c>
      <c r="AL199" s="67" t="n">
        <f aca="false">AG199-AH199-AI199-Benchmark*AJ199</f>
        <v>173384.078486419</v>
      </c>
      <c r="AM199" s="82" t="n">
        <f aca="false">IF(AC199&gt;0,((Benchmark*AJ199+AI199)/(1-Commission)-AD199*AF199)/AC199,0)</f>
        <v>46.1885678402407</v>
      </c>
      <c r="AN199" s="67" t="n">
        <f aca="false">LOA_ft*Port_Tariffs!$C$9*IF((INDEX(Routes!$L$6:$L$9,$C199)*INDEX(Routes!$X$6:$X$9,$C199)*F199)&lt;=2,(INDEX(Routes!$L$6:$L$9,$C199)*INDEX(Routes!$X$6:$X$9,$C199)*F199),IF((INDEX(Routes!$L$6:$L$9,$C199)*INDEX(Routes!$X$6:$X$9,$C199)*F199)&lt;=3,2+0.9*((INDEX(Routes!$L$6:$L$9,$C199)*INDEX(Routes!$X$6:$X$9,$C199)*F199)-2),IF((INDEX(Routes!$L$6:$L$9,$C199)*INDEX(Routes!$X$6:$X$9,$C199)*F199)&lt;=4,2.9+0.75*((INDEX(Routes!$L$6:$L$9,$C199)*INDEX(Routes!$X$6:$X$9,$C199)*F199)-3),IF((INDEX(Routes!$L$6:$L$9,$C199)*INDEX(Routes!$X$6:$X$9,$C199)*F199)&lt;=5,3.65+0.6*((INDEX(Routes!$L$6:$L$9,$C199)*INDEX(Routes!$X$6:$X$9,$C199)*F199)-4),4.25+0.5*((INDEX(Routes!$L$6:$L$9,$C199)*INDEX(Routes!$X$6:$X$9,$C199)*F199)-5)))))</f>
        <v>19557.6</v>
      </c>
      <c r="AO199" s="67" t="n">
        <f aca="false">LOA_ft*Port_Tariffs!$C$9*IF((INDEX(Routes!$M$6:$M$9,$C199)*INDEX(Routes!$Y$6:$Y$9,$C199)*F199)&lt;=2,(INDEX(Routes!$M$6:$M$9,$C199)*INDEX(Routes!$Y$6:$Y$9,$C199)*F199),IF((INDEX(Routes!$M$6:$M$9,$C199)*INDEX(Routes!$Y$6:$Y$9,$C199)*F199)&lt;=3,2+0.9*((INDEX(Routes!$M$6:$M$9,$C199)*INDEX(Routes!$Y$6:$Y$9,$C199)*F199)-2),IF((INDEX(Routes!$M$6:$M$9,$C199)*INDEX(Routes!$Y$6:$Y$9,$C199)*F199)&lt;=4,2.9+0.75*((INDEX(Routes!$M$6:$M$9,$C199)*INDEX(Routes!$Y$6:$Y$9,$C199)*F199)-3),IF((INDEX(Routes!$M$6:$M$9,$C199)*INDEX(Routes!$Y$6:$Y$9,$C199)*F199)&lt;=5,3.65+0.6*((INDEX(Routes!$M$6:$M$9,$C199)*INDEX(Routes!$Y$6:$Y$9,$C199)*F199)-4),4.25+0.5*((INDEX(Routes!$M$6:$M$9,$C199)*INDEX(Routes!$Y$6:$Y$9,$C199)*F199)-5)))))</f>
        <v>0</v>
      </c>
    </row>
    <row r="200" customFormat="false" ht="15" hidden="false" customHeight="false" outlineLevel="0" collapsed="false">
      <c r="A200" s="2" t="s">
        <v>696</v>
      </c>
      <c r="B200" s="2" t="s">
        <v>674</v>
      </c>
      <c r="C200" s="16" t="n">
        <f aca="false">Sw_Route</f>
        <v>1</v>
      </c>
      <c r="D200" s="70" t="n">
        <v>104</v>
      </c>
      <c r="E200" s="88" t="n">
        <f aca="false">FreightMult</f>
        <v>1</v>
      </c>
      <c r="F200" s="88" t="n">
        <f aca="false">PortMult</f>
        <v>1</v>
      </c>
      <c r="G200" s="89" t="n">
        <f aca="false">UtilFH</f>
        <v>0.85</v>
      </c>
      <c r="H200" s="89" t="n">
        <f aca="false">UtilBH</f>
        <v>0.5</v>
      </c>
      <c r="I200" s="95" t="n">
        <v>10</v>
      </c>
      <c r="J200" s="88" t="n">
        <f aca="false">PortCostMult</f>
        <v>1</v>
      </c>
      <c r="K200" s="90" t="n">
        <f aca="false">EUA</f>
        <v>75</v>
      </c>
      <c r="L200" s="71" t="n">
        <f aca="false">INDEX(Routes!$E$6:$E$9,$C200)</f>
        <v>5000</v>
      </c>
      <c r="M200" s="72" t="n">
        <f aca="false">INDEX(Routes!$F$6:$F$9,$C200)/L200</f>
        <v>0.13</v>
      </c>
      <c r="N200" s="77" t="n">
        <f aca="false">2*L200*(1+SeaMargin)/(I200*24)</f>
        <v>43.75</v>
      </c>
      <c r="O200" s="84" t="n">
        <f aca="false">(I200/RefSpeed)^SpeedExp</f>
        <v>0.406442107402327</v>
      </c>
      <c r="P200" s="2" t="n">
        <f aca="false">IF(H200&gt;0,1,0)</f>
        <v>1</v>
      </c>
      <c r="Q200" s="71" t="n">
        <f aca="false">N200/2*O200*(ConsLaden+IF(P200=1,ConsLaden,ConsBallast))</f>
        <v>480.109739368999</v>
      </c>
      <c r="R200" s="71" t="n">
        <f aca="false">Q200*(1-M200)</f>
        <v>417.695473251029</v>
      </c>
      <c r="S200" s="71" t="n">
        <f aca="false">Q200*M200</f>
        <v>62.4142661179698</v>
      </c>
      <c r="T200" s="2" t="n">
        <f aca="false">1+P200</f>
        <v>2</v>
      </c>
      <c r="U200" s="77" t="n">
        <f aca="false">INDEX(Routes!$L$6:$L$9,$C200)*T200*F200</f>
        <v>10</v>
      </c>
      <c r="V200" s="77" t="n">
        <f aca="false">INDEX(Routes!$M$6:$M$9,$C200)*T200*F200</f>
        <v>7</v>
      </c>
      <c r="W200" s="77" t="n">
        <f aca="false">INDEX(Routes!$H$6:$H$9,$C200)*2</f>
        <v>0</v>
      </c>
      <c r="X200" s="71" t="n">
        <f aca="false">(U200+V200+W200)*ConsPort</f>
        <v>102</v>
      </c>
      <c r="Y200" s="67" t="n">
        <f aca="false">R200*D200*VLSFO_Mult+(S200+X200)*D200*MGO_Mult</f>
        <v>500351.646639232</v>
      </c>
      <c r="Z200" s="67" t="n">
        <f aca="false">(INDEX(Routes!$N$6:$N$9,$C200)+AN200+MIN(AC200*INDEX(Routes!$T$6:$T$9,$C200),INDEX(Routes!$V$6:$V$9,$C200))+INDEX(Routes!$O$6:$O$9,$C200)+AO200+MIN(AC200*INDEX(Routes!$U$6:$U$9,$C200),INDEX(Routes!$W$6:$W$9,$C200))+IF(P200=1,INDEX(Routes!$N$6:$N$9,$C200)+AN200+MIN(AD200*INDEX(Routes!$T$6:$T$9,$C200),INDEX(Routes!$V$6:$V$9,$C200))+INDEX(Routes!$O$6:$O$9,$C200)+AO200+MIN(AD200*INDEX(Routes!$U$6:$U$9,$C200),INDEX(Routes!$W$6:$W$9,$C200)),0))*J200</f>
        <v>252304.2096</v>
      </c>
      <c r="AA200" s="67" t="n">
        <f aca="false">INDEX(Routes!$R$6:$R$9,$C200)+IF(P200=1,INDEX(Routes!$R$6:$R$9,$C200),INDEX(Routes!$S$6:$S$9,$C200))</f>
        <v>0</v>
      </c>
      <c r="AB200" s="67" t="n">
        <f aca="false">((R200*CO2_VLSFO+S200*CO2_MGO)*INDEX(Routes!$I$6:$I$9,$C200)+(U200*INDEX(Routes!$P$6:$P$9,$C200)+V200*INDEX(Routes!$Q$6:$Q$9,$C200))*ConsPort*CO2_MGO)*PhaseIn*K200*FX</f>
        <v>73016.948436214</v>
      </c>
      <c r="AC200" s="71" t="n">
        <f aca="false">Capacity*G200</f>
        <v>30600</v>
      </c>
      <c r="AD200" s="71" t="n">
        <f aca="false">Capacity*H200</f>
        <v>18000</v>
      </c>
      <c r="AE200" s="82" t="n">
        <f aca="false">INDEX(Routes!$J$6:$J$9,$C200)*E200</f>
        <v>52</v>
      </c>
      <c r="AF200" s="82" t="n">
        <f aca="false">INDEX(Routes!$K$6:$K$9,$C200)*E200</f>
        <v>38</v>
      </c>
      <c r="AG200" s="67" t="n">
        <f aca="false">AC200*AE200+AD200*AF200</f>
        <v>2275200</v>
      </c>
      <c r="AH200" s="67" t="n">
        <f aca="false">AG200*Commission</f>
        <v>56880</v>
      </c>
      <c r="AI200" s="67" t="n">
        <f aca="false">Y200+Z200+AA200+AB200+MiscVoy</f>
        <v>850672.804675446</v>
      </c>
      <c r="AJ200" s="77" t="n">
        <f aca="false">N200+U200+V200+W200</f>
        <v>60.75</v>
      </c>
      <c r="AK200" s="94" t="n">
        <f aca="false">(AG200-AH200-AI200)/AJ200</f>
        <v>22512.711034149</v>
      </c>
      <c r="AL200" s="67" t="n">
        <f aca="false">AG200-AH200-AI200-Benchmark*AJ200</f>
        <v>274147.195324554</v>
      </c>
      <c r="AM200" s="82" t="n">
        <f aca="false">IF(AC200&gt;0,((Benchmark*AJ200+AI200)/(1-Commission)-AD200*AF200)/AC200,0)</f>
        <v>42.8112218761671</v>
      </c>
      <c r="AN200" s="67" t="n">
        <f aca="false">LOA_ft*Port_Tariffs!$C$9*IF((INDEX(Routes!$L$6:$L$9,$C200)*INDEX(Routes!$X$6:$X$9,$C200)*F200)&lt;=2,(INDEX(Routes!$L$6:$L$9,$C200)*INDEX(Routes!$X$6:$X$9,$C200)*F200),IF((INDEX(Routes!$L$6:$L$9,$C200)*INDEX(Routes!$X$6:$X$9,$C200)*F200)&lt;=3,2+0.9*((INDEX(Routes!$L$6:$L$9,$C200)*INDEX(Routes!$X$6:$X$9,$C200)*F200)-2),IF((INDEX(Routes!$L$6:$L$9,$C200)*INDEX(Routes!$X$6:$X$9,$C200)*F200)&lt;=4,2.9+0.75*((INDEX(Routes!$L$6:$L$9,$C200)*INDEX(Routes!$X$6:$X$9,$C200)*F200)-3),IF((INDEX(Routes!$L$6:$L$9,$C200)*INDEX(Routes!$X$6:$X$9,$C200)*F200)&lt;=5,3.65+0.6*((INDEX(Routes!$L$6:$L$9,$C200)*INDEX(Routes!$X$6:$X$9,$C200)*F200)-4),4.25+0.5*((INDEX(Routes!$L$6:$L$9,$C200)*INDEX(Routes!$X$6:$X$9,$C200)*F200)-5)))))</f>
        <v>19557.6</v>
      </c>
      <c r="AO200" s="67" t="n">
        <f aca="false">LOA_ft*Port_Tariffs!$C$9*IF((INDEX(Routes!$M$6:$M$9,$C200)*INDEX(Routes!$Y$6:$Y$9,$C200)*F200)&lt;=2,(INDEX(Routes!$M$6:$M$9,$C200)*INDEX(Routes!$Y$6:$Y$9,$C200)*F200),IF((INDEX(Routes!$M$6:$M$9,$C200)*INDEX(Routes!$Y$6:$Y$9,$C200)*F200)&lt;=3,2+0.9*((INDEX(Routes!$M$6:$M$9,$C200)*INDEX(Routes!$Y$6:$Y$9,$C200)*F200)-2),IF((INDEX(Routes!$M$6:$M$9,$C200)*INDEX(Routes!$Y$6:$Y$9,$C200)*F200)&lt;=4,2.9+0.75*((INDEX(Routes!$M$6:$M$9,$C200)*INDEX(Routes!$Y$6:$Y$9,$C200)*F200)-3),IF((INDEX(Routes!$M$6:$M$9,$C200)*INDEX(Routes!$Y$6:$Y$9,$C200)*F200)&lt;=5,3.65+0.6*((INDEX(Routes!$M$6:$M$9,$C200)*INDEX(Routes!$Y$6:$Y$9,$C200)*F200)-4),4.25+0.5*((INDEX(Routes!$M$6:$M$9,$C200)*INDEX(Routes!$Y$6:$Y$9,$C200)*F200)-5)))))</f>
        <v>0</v>
      </c>
    </row>
    <row r="201" customFormat="false" ht="15" hidden="false" customHeight="false" outlineLevel="0" collapsed="false">
      <c r="A201" s="2" t="s">
        <v>697</v>
      </c>
      <c r="B201" s="2" t="s">
        <v>674</v>
      </c>
      <c r="C201" s="16" t="n">
        <f aca="false">Sw_Route</f>
        <v>1</v>
      </c>
      <c r="D201" s="70" t="n">
        <v>104</v>
      </c>
      <c r="E201" s="88" t="n">
        <f aca="false">FreightMult</f>
        <v>1</v>
      </c>
      <c r="F201" s="88" t="n">
        <f aca="false">PortMult</f>
        <v>1</v>
      </c>
      <c r="G201" s="89" t="n">
        <f aca="false">UtilFH</f>
        <v>0.85</v>
      </c>
      <c r="H201" s="89" t="n">
        <f aca="false">UtilBH</f>
        <v>0.5</v>
      </c>
      <c r="I201" s="95" t="n">
        <v>10.5</v>
      </c>
      <c r="J201" s="88" t="n">
        <f aca="false">PortCostMult</f>
        <v>1</v>
      </c>
      <c r="K201" s="90" t="n">
        <f aca="false">EUA</f>
        <v>75</v>
      </c>
      <c r="L201" s="71" t="n">
        <f aca="false">INDEX(Routes!$E$6:$E$9,$C201)</f>
        <v>5000</v>
      </c>
      <c r="M201" s="72" t="n">
        <f aca="false">INDEX(Routes!$F$6:$F$9,$C201)/L201</f>
        <v>0.13</v>
      </c>
      <c r="N201" s="77" t="n">
        <f aca="false">2*L201*(1+SeaMargin)/(I201*24)</f>
        <v>41.6666666666667</v>
      </c>
      <c r="O201" s="84" t="n">
        <f aca="false">(I201/RefSpeed)^SpeedExp</f>
        <v>0.470507544581619</v>
      </c>
      <c r="P201" s="2" t="n">
        <f aca="false">IF(H201&gt;0,1,0)</f>
        <v>1</v>
      </c>
      <c r="Q201" s="71" t="n">
        <f aca="false">N201/2*O201*(ConsLaden+IF(P201=1,ConsLaden,ConsBallast))</f>
        <v>529.320987654321</v>
      </c>
      <c r="R201" s="71" t="n">
        <f aca="false">Q201*(1-M201)</f>
        <v>460.509259259259</v>
      </c>
      <c r="S201" s="71" t="n">
        <f aca="false">Q201*M201</f>
        <v>68.8117283950617</v>
      </c>
      <c r="T201" s="2" t="n">
        <f aca="false">1+P201</f>
        <v>2</v>
      </c>
      <c r="U201" s="77" t="n">
        <f aca="false">INDEX(Routes!$L$6:$L$9,$C201)*T201*F201</f>
        <v>10</v>
      </c>
      <c r="V201" s="77" t="n">
        <f aca="false">INDEX(Routes!$M$6:$M$9,$C201)*T201*F201</f>
        <v>7</v>
      </c>
      <c r="W201" s="77" t="n">
        <f aca="false">INDEX(Routes!$H$6:$H$9,$C201)*2</f>
        <v>0</v>
      </c>
      <c r="X201" s="71" t="n">
        <f aca="false">(U201+V201+W201)*ConsPort</f>
        <v>102</v>
      </c>
      <c r="Y201" s="67" t="n">
        <f aca="false">R201*D201*VLSFO_Mult+(S201+X201)*D201*MGO_Mult</f>
        <v>541090.686419753</v>
      </c>
      <c r="Z201" s="67" t="n">
        <f aca="false">(INDEX(Routes!$N$6:$N$9,$C201)+AN201+MIN(AC201*INDEX(Routes!$T$6:$T$9,$C201),INDEX(Routes!$V$6:$V$9,$C201))+INDEX(Routes!$O$6:$O$9,$C201)+AO201+MIN(AC201*INDEX(Routes!$U$6:$U$9,$C201),INDEX(Routes!$W$6:$W$9,$C201))+IF(P201=1,INDEX(Routes!$N$6:$N$9,$C201)+AN201+MIN(AD201*INDEX(Routes!$T$6:$T$9,$C201),INDEX(Routes!$V$6:$V$9,$C201))+INDEX(Routes!$O$6:$O$9,$C201)+AO201+MIN(AD201*INDEX(Routes!$U$6:$U$9,$C201),INDEX(Routes!$W$6:$W$9,$C201)),0))*J201</f>
        <v>252304.2096</v>
      </c>
      <c r="AA201" s="67" t="n">
        <f aca="false">INDEX(Routes!$R$6:$R$9,$C201)+IF(P201=1,INDEX(Routes!$R$6:$R$9,$C201),INDEX(Routes!$S$6:$S$9,$C201))</f>
        <v>0</v>
      </c>
      <c r="AB201" s="67" t="n">
        <f aca="false">((R201*CO2_VLSFO+S201*CO2_MGO)*INDEX(Routes!$I$6:$I$9,$C201)+(U201*INDEX(Routes!$P$6:$P$9,$C201)+V201*INDEX(Routes!$Q$6:$Q$9,$C201))*ConsPort*CO2_MGO)*PhaseIn*K201*FX</f>
        <v>79362.5346759259</v>
      </c>
      <c r="AC201" s="71" t="n">
        <f aca="false">Capacity*G201</f>
        <v>30600</v>
      </c>
      <c r="AD201" s="71" t="n">
        <f aca="false">Capacity*H201</f>
        <v>18000</v>
      </c>
      <c r="AE201" s="82" t="n">
        <f aca="false">INDEX(Routes!$J$6:$J$9,$C201)*E201</f>
        <v>52</v>
      </c>
      <c r="AF201" s="82" t="n">
        <f aca="false">INDEX(Routes!$K$6:$K$9,$C201)*E201</f>
        <v>38</v>
      </c>
      <c r="AG201" s="67" t="n">
        <f aca="false">AC201*AE201+AD201*AF201</f>
        <v>2275200</v>
      </c>
      <c r="AH201" s="67" t="n">
        <f aca="false">AG201*Commission</f>
        <v>56880</v>
      </c>
      <c r="AI201" s="67" t="n">
        <f aca="false">Y201+Z201+AA201+AB201+MiscVoy</f>
        <v>897757.430695679</v>
      </c>
      <c r="AJ201" s="77" t="n">
        <f aca="false">N201+U201+V201+W201</f>
        <v>58.6666666666667</v>
      </c>
      <c r="AK201" s="94" t="n">
        <f aca="false">(AG201-AH201-AI201)/AJ201</f>
        <v>22509.5892495055</v>
      </c>
      <c r="AL201" s="67" t="n">
        <f aca="false">AG201-AH201-AI201-Benchmark*AJ201</f>
        <v>264562.569304321</v>
      </c>
      <c r="AM201" s="82" t="n">
        <f aca="false">IF(AC201&gt;0,((Benchmark*AJ201+AI201)/(1-Commission)-AD201*AF201)/AC201,0)</f>
        <v>43.1324763095585</v>
      </c>
      <c r="AN201" s="67" t="n">
        <f aca="false">LOA_ft*Port_Tariffs!$C$9*IF((INDEX(Routes!$L$6:$L$9,$C201)*INDEX(Routes!$X$6:$X$9,$C201)*F201)&lt;=2,(INDEX(Routes!$L$6:$L$9,$C201)*INDEX(Routes!$X$6:$X$9,$C201)*F201),IF((INDEX(Routes!$L$6:$L$9,$C201)*INDEX(Routes!$X$6:$X$9,$C201)*F201)&lt;=3,2+0.9*((INDEX(Routes!$L$6:$L$9,$C201)*INDEX(Routes!$X$6:$X$9,$C201)*F201)-2),IF((INDEX(Routes!$L$6:$L$9,$C201)*INDEX(Routes!$X$6:$X$9,$C201)*F201)&lt;=4,2.9+0.75*((INDEX(Routes!$L$6:$L$9,$C201)*INDEX(Routes!$X$6:$X$9,$C201)*F201)-3),IF((INDEX(Routes!$L$6:$L$9,$C201)*INDEX(Routes!$X$6:$X$9,$C201)*F201)&lt;=5,3.65+0.6*((INDEX(Routes!$L$6:$L$9,$C201)*INDEX(Routes!$X$6:$X$9,$C201)*F201)-4),4.25+0.5*((INDEX(Routes!$L$6:$L$9,$C201)*INDEX(Routes!$X$6:$X$9,$C201)*F201)-5)))))</f>
        <v>19557.6</v>
      </c>
      <c r="AO201" s="67" t="n">
        <f aca="false">LOA_ft*Port_Tariffs!$C$9*IF((INDEX(Routes!$M$6:$M$9,$C201)*INDEX(Routes!$Y$6:$Y$9,$C201)*F201)&lt;=2,(INDEX(Routes!$M$6:$M$9,$C201)*INDEX(Routes!$Y$6:$Y$9,$C201)*F201),IF((INDEX(Routes!$M$6:$M$9,$C201)*INDEX(Routes!$Y$6:$Y$9,$C201)*F201)&lt;=3,2+0.9*((INDEX(Routes!$M$6:$M$9,$C201)*INDEX(Routes!$Y$6:$Y$9,$C201)*F201)-2),IF((INDEX(Routes!$M$6:$M$9,$C201)*INDEX(Routes!$Y$6:$Y$9,$C201)*F201)&lt;=4,2.9+0.75*((INDEX(Routes!$M$6:$M$9,$C201)*INDEX(Routes!$Y$6:$Y$9,$C201)*F201)-3),IF((INDEX(Routes!$M$6:$M$9,$C201)*INDEX(Routes!$Y$6:$Y$9,$C201)*F201)&lt;=5,3.65+0.6*((INDEX(Routes!$M$6:$M$9,$C201)*INDEX(Routes!$Y$6:$Y$9,$C201)*F201)-4),4.25+0.5*((INDEX(Routes!$M$6:$M$9,$C201)*INDEX(Routes!$Y$6:$Y$9,$C201)*F201)-5)))))</f>
        <v>0</v>
      </c>
    </row>
    <row r="202" customFormat="false" ht="15" hidden="false" customHeight="false" outlineLevel="0" collapsed="false">
      <c r="A202" s="2" t="s">
        <v>698</v>
      </c>
      <c r="B202" s="2" t="s">
        <v>674</v>
      </c>
      <c r="C202" s="16" t="n">
        <f aca="false">Sw_Route</f>
        <v>1</v>
      </c>
      <c r="D202" s="70" t="n">
        <v>104</v>
      </c>
      <c r="E202" s="88" t="n">
        <f aca="false">FreightMult</f>
        <v>1</v>
      </c>
      <c r="F202" s="88" t="n">
        <f aca="false">PortMult</f>
        <v>1</v>
      </c>
      <c r="G202" s="89" t="n">
        <f aca="false">UtilFH</f>
        <v>0.85</v>
      </c>
      <c r="H202" s="89" t="n">
        <f aca="false">UtilBH</f>
        <v>0.5</v>
      </c>
      <c r="I202" s="95" t="n">
        <v>11</v>
      </c>
      <c r="J202" s="88" t="n">
        <f aca="false">PortCostMult</f>
        <v>1</v>
      </c>
      <c r="K202" s="90" t="n">
        <f aca="false">EUA</f>
        <v>75</v>
      </c>
      <c r="L202" s="71" t="n">
        <f aca="false">INDEX(Routes!$E$6:$E$9,$C202)</f>
        <v>5000</v>
      </c>
      <c r="M202" s="72" t="n">
        <f aca="false">INDEX(Routes!$F$6:$F$9,$C202)/L202</f>
        <v>0.13</v>
      </c>
      <c r="N202" s="77" t="n">
        <f aca="false">2*L202*(1+SeaMargin)/(I202*24)</f>
        <v>39.7727272727273</v>
      </c>
      <c r="O202" s="84" t="n">
        <f aca="false">(I202/RefSpeed)^SpeedExp</f>
        <v>0.540974444952497</v>
      </c>
      <c r="P202" s="2" t="n">
        <f aca="false">IF(H202&gt;0,1,0)</f>
        <v>1</v>
      </c>
      <c r="Q202" s="71" t="n">
        <f aca="false">N202/2*O202*(ConsLaden+IF(P202=1,ConsLaden,ConsBallast))</f>
        <v>580.932784636488</v>
      </c>
      <c r="R202" s="71" t="n">
        <f aca="false">Q202*(1-M202)</f>
        <v>505.411522633745</v>
      </c>
      <c r="S202" s="71" t="n">
        <f aca="false">Q202*M202</f>
        <v>75.5212620027435</v>
      </c>
      <c r="T202" s="2" t="n">
        <f aca="false">1+P202</f>
        <v>2</v>
      </c>
      <c r="U202" s="77" t="n">
        <f aca="false">INDEX(Routes!$L$6:$L$9,$C202)*T202*F202</f>
        <v>10</v>
      </c>
      <c r="V202" s="77" t="n">
        <f aca="false">INDEX(Routes!$M$6:$M$9,$C202)*T202*F202</f>
        <v>7</v>
      </c>
      <c r="W202" s="77" t="n">
        <f aca="false">INDEX(Routes!$H$6:$H$9,$C202)*2</f>
        <v>0</v>
      </c>
      <c r="X202" s="71" t="n">
        <f aca="false">(U202+V202+W202)*ConsPort</f>
        <v>102</v>
      </c>
      <c r="Y202" s="67" t="n">
        <f aca="false">R202*D202*VLSFO_Mult+(S202+X202)*D202*MGO_Mult</f>
        <v>583816.99643347</v>
      </c>
      <c r="Z202" s="67" t="n">
        <f aca="false">(INDEX(Routes!$N$6:$N$9,$C202)+AN202+MIN(AC202*INDEX(Routes!$T$6:$T$9,$C202),INDEX(Routes!$V$6:$V$9,$C202))+INDEX(Routes!$O$6:$O$9,$C202)+AO202+MIN(AC202*INDEX(Routes!$U$6:$U$9,$C202),INDEX(Routes!$W$6:$W$9,$C202))+IF(P202=1,INDEX(Routes!$N$6:$N$9,$C202)+AN202+MIN(AD202*INDEX(Routes!$T$6:$T$9,$C202),INDEX(Routes!$V$6:$V$9,$C202))+INDEX(Routes!$O$6:$O$9,$C202)+AO202+MIN(AD202*INDEX(Routes!$U$6:$U$9,$C202),INDEX(Routes!$W$6:$W$9,$C202)),0))*J202</f>
        <v>252304.2096</v>
      </c>
      <c r="AA202" s="67" t="n">
        <f aca="false">INDEX(Routes!$R$6:$R$9,$C202)+IF(P202=1,INDEX(Routes!$R$6:$R$9,$C202),INDEX(Routes!$S$6:$S$9,$C202))</f>
        <v>0</v>
      </c>
      <c r="AB202" s="67" t="n">
        <f aca="false">((R202*CO2_VLSFO+S202*CO2_MGO)*INDEX(Routes!$I$6:$I$9,$C202)+(U202*INDEX(Routes!$P$6:$P$9,$C202)+V202*INDEX(Routes!$Q$6:$Q$9,$C202))*ConsPort*CO2_MGO)*PhaseIn*K202*FX</f>
        <v>86017.6617078189</v>
      </c>
      <c r="AC202" s="71" t="n">
        <f aca="false">Capacity*G202</f>
        <v>30600</v>
      </c>
      <c r="AD202" s="71" t="n">
        <f aca="false">Capacity*H202</f>
        <v>18000</v>
      </c>
      <c r="AE202" s="82" t="n">
        <f aca="false">INDEX(Routes!$J$6:$J$9,$C202)*E202</f>
        <v>52</v>
      </c>
      <c r="AF202" s="82" t="n">
        <f aca="false">INDEX(Routes!$K$6:$K$9,$C202)*E202</f>
        <v>38</v>
      </c>
      <c r="AG202" s="67" t="n">
        <f aca="false">AC202*AE202+AD202*AF202</f>
        <v>2275200</v>
      </c>
      <c r="AH202" s="67" t="n">
        <f aca="false">AG202*Commission</f>
        <v>56880</v>
      </c>
      <c r="AI202" s="67" t="n">
        <f aca="false">Y202+Z202+AA202+AB202+MiscVoy</f>
        <v>947138.867741289</v>
      </c>
      <c r="AJ202" s="77" t="n">
        <f aca="false">N202+U202+V202+W202</f>
        <v>56.7727272727273</v>
      </c>
      <c r="AK202" s="94" t="n">
        <f aca="false">(AG202-AH202-AI202)/AJ202</f>
        <v>22390.7004881438</v>
      </c>
      <c r="AL202" s="67" t="n">
        <f aca="false">AG202-AH202-AI202-Benchmark*AJ202</f>
        <v>249272.04134962</v>
      </c>
      <c r="AM202" s="82" t="n">
        <f aca="false">IF(AC202&gt;0,((Benchmark*AJ202+AI202)/(1-Commission)-AD202*AF202)/AC202,0)</f>
        <v>43.6449793413903</v>
      </c>
      <c r="AN202" s="67" t="n">
        <f aca="false">LOA_ft*Port_Tariffs!$C$9*IF((INDEX(Routes!$L$6:$L$9,$C202)*INDEX(Routes!$X$6:$X$9,$C202)*F202)&lt;=2,(INDEX(Routes!$L$6:$L$9,$C202)*INDEX(Routes!$X$6:$X$9,$C202)*F202),IF((INDEX(Routes!$L$6:$L$9,$C202)*INDEX(Routes!$X$6:$X$9,$C202)*F202)&lt;=3,2+0.9*((INDEX(Routes!$L$6:$L$9,$C202)*INDEX(Routes!$X$6:$X$9,$C202)*F202)-2),IF((INDEX(Routes!$L$6:$L$9,$C202)*INDEX(Routes!$X$6:$X$9,$C202)*F202)&lt;=4,2.9+0.75*((INDEX(Routes!$L$6:$L$9,$C202)*INDEX(Routes!$X$6:$X$9,$C202)*F202)-3),IF((INDEX(Routes!$L$6:$L$9,$C202)*INDEX(Routes!$X$6:$X$9,$C202)*F202)&lt;=5,3.65+0.6*((INDEX(Routes!$L$6:$L$9,$C202)*INDEX(Routes!$X$6:$X$9,$C202)*F202)-4),4.25+0.5*((INDEX(Routes!$L$6:$L$9,$C202)*INDEX(Routes!$X$6:$X$9,$C202)*F202)-5)))))</f>
        <v>19557.6</v>
      </c>
      <c r="AO202" s="67" t="n">
        <f aca="false">LOA_ft*Port_Tariffs!$C$9*IF((INDEX(Routes!$M$6:$M$9,$C202)*INDEX(Routes!$Y$6:$Y$9,$C202)*F202)&lt;=2,(INDEX(Routes!$M$6:$M$9,$C202)*INDEX(Routes!$Y$6:$Y$9,$C202)*F202),IF((INDEX(Routes!$M$6:$M$9,$C202)*INDEX(Routes!$Y$6:$Y$9,$C202)*F202)&lt;=3,2+0.9*((INDEX(Routes!$M$6:$M$9,$C202)*INDEX(Routes!$Y$6:$Y$9,$C202)*F202)-2),IF((INDEX(Routes!$M$6:$M$9,$C202)*INDEX(Routes!$Y$6:$Y$9,$C202)*F202)&lt;=4,2.9+0.75*((INDEX(Routes!$M$6:$M$9,$C202)*INDEX(Routes!$Y$6:$Y$9,$C202)*F202)-3),IF((INDEX(Routes!$M$6:$M$9,$C202)*INDEX(Routes!$Y$6:$Y$9,$C202)*F202)&lt;=5,3.65+0.6*((INDEX(Routes!$M$6:$M$9,$C202)*INDEX(Routes!$Y$6:$Y$9,$C202)*F202)-4),4.25+0.5*((INDEX(Routes!$M$6:$M$9,$C202)*INDEX(Routes!$Y$6:$Y$9,$C202)*F202)-5)))))</f>
        <v>0</v>
      </c>
    </row>
    <row r="203" customFormat="false" ht="15" hidden="false" customHeight="false" outlineLevel="0" collapsed="false">
      <c r="A203" s="2" t="s">
        <v>699</v>
      </c>
      <c r="B203" s="2" t="s">
        <v>674</v>
      </c>
      <c r="C203" s="16" t="n">
        <f aca="false">Sw_Route</f>
        <v>1</v>
      </c>
      <c r="D203" s="70" t="n">
        <v>104</v>
      </c>
      <c r="E203" s="88" t="n">
        <f aca="false">FreightMult</f>
        <v>1</v>
      </c>
      <c r="F203" s="88" t="n">
        <f aca="false">PortMult</f>
        <v>1</v>
      </c>
      <c r="G203" s="89" t="n">
        <f aca="false">UtilFH</f>
        <v>0.85</v>
      </c>
      <c r="H203" s="89" t="n">
        <f aca="false">UtilBH</f>
        <v>0.5</v>
      </c>
      <c r="I203" s="95" t="n">
        <v>11.5</v>
      </c>
      <c r="J203" s="88" t="n">
        <f aca="false">PortCostMult</f>
        <v>1</v>
      </c>
      <c r="K203" s="90" t="n">
        <f aca="false">EUA</f>
        <v>75</v>
      </c>
      <c r="L203" s="71" t="n">
        <f aca="false">INDEX(Routes!$E$6:$E$9,$C203)</f>
        <v>5000</v>
      </c>
      <c r="M203" s="72" t="n">
        <f aca="false">INDEX(Routes!$F$6:$F$9,$C203)/L203</f>
        <v>0.13</v>
      </c>
      <c r="N203" s="77" t="n">
        <f aca="false">2*L203*(1+SeaMargin)/(I203*24)</f>
        <v>38.0434782608696</v>
      </c>
      <c r="O203" s="84" t="n">
        <f aca="false">(I203/RefSpeed)^SpeedExp</f>
        <v>0.618147640095514</v>
      </c>
      <c r="P203" s="2" t="n">
        <f aca="false">IF(H203&gt;0,1,0)</f>
        <v>1</v>
      </c>
      <c r="Q203" s="71" t="n">
        <f aca="false">N203/2*O203*(ConsLaden+IF(P203=1,ConsLaden,ConsBallast))</f>
        <v>634.945130315501</v>
      </c>
      <c r="R203" s="71" t="n">
        <f aca="false">Q203*(1-M203)</f>
        <v>552.402263374486</v>
      </c>
      <c r="S203" s="71" t="n">
        <f aca="false">Q203*M203</f>
        <v>82.5428669410151</v>
      </c>
      <c r="T203" s="2" t="n">
        <f aca="false">1+P203</f>
        <v>2</v>
      </c>
      <c r="U203" s="77" t="n">
        <f aca="false">INDEX(Routes!$L$6:$L$9,$C203)*T203*F203</f>
        <v>10</v>
      </c>
      <c r="V203" s="77" t="n">
        <f aca="false">INDEX(Routes!$M$6:$M$9,$C203)*T203*F203</f>
        <v>7</v>
      </c>
      <c r="W203" s="77" t="n">
        <f aca="false">INDEX(Routes!$H$6:$H$9,$C203)*2</f>
        <v>0</v>
      </c>
      <c r="X203" s="71" t="n">
        <f aca="false">(U203+V203+W203)*ConsPort</f>
        <v>102</v>
      </c>
      <c r="Y203" s="67" t="n">
        <f aca="false">R203*D203*VLSFO_Mult+(S203+X203)*D203*MGO_Mult</f>
        <v>628530.576680384</v>
      </c>
      <c r="Z203" s="67" t="n">
        <f aca="false">(INDEX(Routes!$N$6:$N$9,$C203)+AN203+MIN(AC203*INDEX(Routes!$T$6:$T$9,$C203),INDEX(Routes!$V$6:$V$9,$C203))+INDEX(Routes!$O$6:$O$9,$C203)+AO203+MIN(AC203*INDEX(Routes!$U$6:$U$9,$C203),INDEX(Routes!$W$6:$W$9,$C203))+IF(P203=1,INDEX(Routes!$N$6:$N$9,$C203)+AN203+MIN(AD203*INDEX(Routes!$T$6:$T$9,$C203),INDEX(Routes!$V$6:$V$9,$C203))+INDEX(Routes!$O$6:$O$9,$C203)+AO203+MIN(AD203*INDEX(Routes!$U$6:$U$9,$C203),INDEX(Routes!$W$6:$W$9,$C203)),0))*J203</f>
        <v>252304.2096</v>
      </c>
      <c r="AA203" s="67" t="n">
        <f aca="false">INDEX(Routes!$R$6:$R$9,$C203)+IF(P203=1,INDEX(Routes!$R$6:$R$9,$C203),INDEX(Routes!$S$6:$S$9,$C203))</f>
        <v>0</v>
      </c>
      <c r="AB203" s="67" t="n">
        <f aca="false">((R203*CO2_VLSFO+S203*CO2_MGO)*INDEX(Routes!$I$6:$I$9,$C203)+(U203*INDEX(Routes!$P$6:$P$9,$C203)+V203*INDEX(Routes!$Q$6:$Q$9,$C203))*ConsPort*CO2_MGO)*PhaseIn*K203*FX</f>
        <v>92982.329531893</v>
      </c>
      <c r="AC203" s="71" t="n">
        <f aca="false">Capacity*G203</f>
        <v>30600</v>
      </c>
      <c r="AD203" s="71" t="n">
        <f aca="false">Capacity*H203</f>
        <v>18000</v>
      </c>
      <c r="AE203" s="82" t="n">
        <f aca="false">INDEX(Routes!$J$6:$J$9,$C203)*E203</f>
        <v>52</v>
      </c>
      <c r="AF203" s="82" t="n">
        <f aca="false">INDEX(Routes!$K$6:$K$9,$C203)*E203</f>
        <v>38</v>
      </c>
      <c r="AG203" s="67" t="n">
        <f aca="false">AC203*AE203+AD203*AF203</f>
        <v>2275200</v>
      </c>
      <c r="AH203" s="67" t="n">
        <f aca="false">AG203*Commission</f>
        <v>56880</v>
      </c>
      <c r="AI203" s="67" t="n">
        <f aca="false">Y203+Z203+AA203+AB203+MiscVoy</f>
        <v>998817.115812277</v>
      </c>
      <c r="AJ203" s="77" t="n">
        <f aca="false">N203+U203+V203+W203</f>
        <v>55.0434782608696</v>
      </c>
      <c r="AK203" s="94" t="n">
        <f aca="false">(AG203-AH203-AI203)/AJ203</f>
        <v>22155.2656684973</v>
      </c>
      <c r="AL203" s="67" t="n">
        <f aca="false">AG203-AH203-AI203-Benchmark*AJ203</f>
        <v>228720.275492071</v>
      </c>
      <c r="AM203" s="82" t="n">
        <f aca="false">IF(AC203&gt;0,((Benchmark*AJ203+AI203)/(1-Commission)-AD203*AF203)/AC203,0)</f>
        <v>44.3338268646868</v>
      </c>
      <c r="AN203" s="67" t="n">
        <f aca="false">LOA_ft*Port_Tariffs!$C$9*IF((INDEX(Routes!$L$6:$L$9,$C203)*INDEX(Routes!$X$6:$X$9,$C203)*F203)&lt;=2,(INDEX(Routes!$L$6:$L$9,$C203)*INDEX(Routes!$X$6:$X$9,$C203)*F203),IF((INDEX(Routes!$L$6:$L$9,$C203)*INDEX(Routes!$X$6:$X$9,$C203)*F203)&lt;=3,2+0.9*((INDEX(Routes!$L$6:$L$9,$C203)*INDEX(Routes!$X$6:$X$9,$C203)*F203)-2),IF((INDEX(Routes!$L$6:$L$9,$C203)*INDEX(Routes!$X$6:$X$9,$C203)*F203)&lt;=4,2.9+0.75*((INDEX(Routes!$L$6:$L$9,$C203)*INDEX(Routes!$X$6:$X$9,$C203)*F203)-3),IF((INDEX(Routes!$L$6:$L$9,$C203)*INDEX(Routes!$X$6:$X$9,$C203)*F203)&lt;=5,3.65+0.6*((INDEX(Routes!$L$6:$L$9,$C203)*INDEX(Routes!$X$6:$X$9,$C203)*F203)-4),4.25+0.5*((INDEX(Routes!$L$6:$L$9,$C203)*INDEX(Routes!$X$6:$X$9,$C203)*F203)-5)))))</f>
        <v>19557.6</v>
      </c>
      <c r="AO203" s="67" t="n">
        <f aca="false">LOA_ft*Port_Tariffs!$C$9*IF((INDEX(Routes!$M$6:$M$9,$C203)*INDEX(Routes!$Y$6:$Y$9,$C203)*F203)&lt;=2,(INDEX(Routes!$M$6:$M$9,$C203)*INDEX(Routes!$Y$6:$Y$9,$C203)*F203),IF((INDEX(Routes!$M$6:$M$9,$C203)*INDEX(Routes!$Y$6:$Y$9,$C203)*F203)&lt;=3,2+0.9*((INDEX(Routes!$M$6:$M$9,$C203)*INDEX(Routes!$Y$6:$Y$9,$C203)*F203)-2),IF((INDEX(Routes!$M$6:$M$9,$C203)*INDEX(Routes!$Y$6:$Y$9,$C203)*F203)&lt;=4,2.9+0.75*((INDEX(Routes!$M$6:$M$9,$C203)*INDEX(Routes!$Y$6:$Y$9,$C203)*F203)-3),IF((INDEX(Routes!$M$6:$M$9,$C203)*INDEX(Routes!$Y$6:$Y$9,$C203)*F203)&lt;=5,3.65+0.6*((INDEX(Routes!$M$6:$M$9,$C203)*INDEX(Routes!$Y$6:$Y$9,$C203)*F203)-4),4.25+0.5*((INDEX(Routes!$M$6:$M$9,$C203)*INDEX(Routes!$Y$6:$Y$9,$C203)*F203)-5)))))</f>
        <v>0</v>
      </c>
    </row>
    <row r="204" customFormat="false" ht="15" hidden="false" customHeight="false" outlineLevel="0" collapsed="false">
      <c r="A204" s="2" t="s">
        <v>700</v>
      </c>
      <c r="B204" s="2" t="s">
        <v>674</v>
      </c>
      <c r="C204" s="16" t="n">
        <f aca="false">Sw_Route</f>
        <v>1</v>
      </c>
      <c r="D204" s="70" t="n">
        <v>104</v>
      </c>
      <c r="E204" s="88" t="n">
        <f aca="false">FreightMult</f>
        <v>1</v>
      </c>
      <c r="F204" s="88" t="n">
        <f aca="false">PortMult</f>
        <v>1</v>
      </c>
      <c r="G204" s="89" t="n">
        <f aca="false">UtilFH</f>
        <v>0.85</v>
      </c>
      <c r="H204" s="89" t="n">
        <f aca="false">UtilBH</f>
        <v>0.5</v>
      </c>
      <c r="I204" s="95" t="n">
        <v>12</v>
      </c>
      <c r="J204" s="88" t="n">
        <f aca="false">PortCostMult</f>
        <v>1</v>
      </c>
      <c r="K204" s="90" t="n">
        <f aca="false">EUA</f>
        <v>75</v>
      </c>
      <c r="L204" s="71" t="n">
        <f aca="false">INDEX(Routes!$E$6:$E$9,$C204)</f>
        <v>5000</v>
      </c>
      <c r="M204" s="72" t="n">
        <f aca="false">INDEX(Routes!$F$6:$F$9,$C204)/L204</f>
        <v>0.13</v>
      </c>
      <c r="N204" s="77" t="n">
        <f aca="false">2*L204*(1+SeaMargin)/(I204*24)</f>
        <v>36.4583333333333</v>
      </c>
      <c r="O204" s="84" t="n">
        <f aca="false">(I204/RefSpeed)^SpeedExp</f>
        <v>0.702331961591221</v>
      </c>
      <c r="P204" s="2" t="n">
        <f aca="false">IF(H204&gt;0,1,0)</f>
        <v>1</v>
      </c>
      <c r="Q204" s="71" t="n">
        <f aca="false">N204/2*O204*(ConsLaden+IF(P204=1,ConsLaden,ConsBallast))</f>
        <v>691.358024691358</v>
      </c>
      <c r="R204" s="71" t="n">
        <f aca="false">Q204*(1-M204)</f>
        <v>601.481481481481</v>
      </c>
      <c r="S204" s="71" t="n">
        <f aca="false">Q204*M204</f>
        <v>89.8765432098765</v>
      </c>
      <c r="T204" s="2" t="n">
        <f aca="false">1+P204</f>
        <v>2</v>
      </c>
      <c r="U204" s="77" t="n">
        <f aca="false">INDEX(Routes!$L$6:$L$9,$C204)*T204*F204</f>
        <v>10</v>
      </c>
      <c r="V204" s="77" t="n">
        <f aca="false">INDEX(Routes!$M$6:$M$9,$C204)*T204*F204</f>
        <v>7</v>
      </c>
      <c r="W204" s="77" t="n">
        <f aca="false">INDEX(Routes!$H$6:$H$9,$C204)*2</f>
        <v>0</v>
      </c>
      <c r="X204" s="71" t="n">
        <f aca="false">(U204+V204+W204)*ConsPort</f>
        <v>102</v>
      </c>
      <c r="Y204" s="67" t="n">
        <f aca="false">R204*D204*VLSFO_Mult+(S204+X204)*D204*MGO_Mult</f>
        <v>675231.427160494</v>
      </c>
      <c r="Z204" s="67" t="n">
        <f aca="false">(INDEX(Routes!$N$6:$N$9,$C204)+AN204+MIN(AC204*INDEX(Routes!$T$6:$T$9,$C204),INDEX(Routes!$V$6:$V$9,$C204))+INDEX(Routes!$O$6:$O$9,$C204)+AO204+MIN(AC204*INDEX(Routes!$U$6:$U$9,$C204),INDEX(Routes!$W$6:$W$9,$C204))+IF(P204=1,INDEX(Routes!$N$6:$N$9,$C204)+AN204+MIN(AD204*INDEX(Routes!$T$6:$T$9,$C204),INDEX(Routes!$V$6:$V$9,$C204))+INDEX(Routes!$O$6:$O$9,$C204)+AO204+MIN(AD204*INDEX(Routes!$U$6:$U$9,$C204),INDEX(Routes!$W$6:$W$9,$C204)),0))*J204</f>
        <v>252304.2096</v>
      </c>
      <c r="AA204" s="67" t="n">
        <f aca="false">INDEX(Routes!$R$6:$R$9,$C204)+IF(P204=1,INDEX(Routes!$R$6:$R$9,$C204),INDEX(Routes!$S$6:$S$9,$C204))</f>
        <v>0</v>
      </c>
      <c r="AB204" s="67" t="n">
        <f aca="false">((R204*CO2_VLSFO+S204*CO2_MGO)*INDEX(Routes!$I$6:$I$9,$C204)+(U204*INDEX(Routes!$P$6:$P$9,$C204)+V204*INDEX(Routes!$Q$6:$Q$9,$C204))*ConsPort*CO2_MGO)*PhaseIn*K204*FX</f>
        <v>100256.538148148</v>
      </c>
      <c r="AC204" s="71" t="n">
        <f aca="false">Capacity*G204</f>
        <v>30600</v>
      </c>
      <c r="AD204" s="71" t="n">
        <f aca="false">Capacity*H204</f>
        <v>18000</v>
      </c>
      <c r="AE204" s="82" t="n">
        <f aca="false">INDEX(Routes!$J$6:$J$9,$C204)*E204</f>
        <v>52</v>
      </c>
      <c r="AF204" s="82" t="n">
        <f aca="false">INDEX(Routes!$K$6:$K$9,$C204)*E204</f>
        <v>38</v>
      </c>
      <c r="AG204" s="67" t="n">
        <f aca="false">AC204*AE204+AD204*AF204</f>
        <v>2275200</v>
      </c>
      <c r="AH204" s="67" t="n">
        <f aca="false">AG204*Commission</f>
        <v>56880</v>
      </c>
      <c r="AI204" s="67" t="n">
        <f aca="false">Y204+Z204+AA204+AB204+MiscVoy</f>
        <v>1052792.17490864</v>
      </c>
      <c r="AJ204" s="77" t="n">
        <f aca="false">N204+U204+V204+W204</f>
        <v>53.4583333333333</v>
      </c>
      <c r="AK204" s="94" t="n">
        <f aca="false">(AG204-AH204-AI204)/AJ204</f>
        <v>21802.5470009295</v>
      </c>
      <c r="AL204" s="67" t="n">
        <f aca="false">AG204-AH204-AI204-Benchmark*AJ204</f>
        <v>203277.825091358</v>
      </c>
      <c r="AM204" s="82" t="n">
        <f aca="false">IF(AC204&gt;0,((Benchmark*AJ204+AI204)/(1-Commission)-AD204*AF204)/AC204,0)</f>
        <v>45.1865987903014</v>
      </c>
      <c r="AN204" s="67" t="n">
        <f aca="false">LOA_ft*Port_Tariffs!$C$9*IF((INDEX(Routes!$L$6:$L$9,$C204)*INDEX(Routes!$X$6:$X$9,$C204)*F204)&lt;=2,(INDEX(Routes!$L$6:$L$9,$C204)*INDEX(Routes!$X$6:$X$9,$C204)*F204),IF((INDEX(Routes!$L$6:$L$9,$C204)*INDEX(Routes!$X$6:$X$9,$C204)*F204)&lt;=3,2+0.9*((INDEX(Routes!$L$6:$L$9,$C204)*INDEX(Routes!$X$6:$X$9,$C204)*F204)-2),IF((INDEX(Routes!$L$6:$L$9,$C204)*INDEX(Routes!$X$6:$X$9,$C204)*F204)&lt;=4,2.9+0.75*((INDEX(Routes!$L$6:$L$9,$C204)*INDEX(Routes!$X$6:$X$9,$C204)*F204)-3),IF((INDEX(Routes!$L$6:$L$9,$C204)*INDEX(Routes!$X$6:$X$9,$C204)*F204)&lt;=5,3.65+0.6*((INDEX(Routes!$L$6:$L$9,$C204)*INDEX(Routes!$X$6:$X$9,$C204)*F204)-4),4.25+0.5*((INDEX(Routes!$L$6:$L$9,$C204)*INDEX(Routes!$X$6:$X$9,$C204)*F204)-5)))))</f>
        <v>19557.6</v>
      </c>
      <c r="AO204" s="67" t="n">
        <f aca="false">LOA_ft*Port_Tariffs!$C$9*IF((INDEX(Routes!$M$6:$M$9,$C204)*INDEX(Routes!$Y$6:$Y$9,$C204)*F204)&lt;=2,(INDEX(Routes!$M$6:$M$9,$C204)*INDEX(Routes!$Y$6:$Y$9,$C204)*F204),IF((INDEX(Routes!$M$6:$M$9,$C204)*INDEX(Routes!$Y$6:$Y$9,$C204)*F204)&lt;=3,2+0.9*((INDEX(Routes!$M$6:$M$9,$C204)*INDEX(Routes!$Y$6:$Y$9,$C204)*F204)-2),IF((INDEX(Routes!$M$6:$M$9,$C204)*INDEX(Routes!$Y$6:$Y$9,$C204)*F204)&lt;=4,2.9+0.75*((INDEX(Routes!$M$6:$M$9,$C204)*INDEX(Routes!$Y$6:$Y$9,$C204)*F204)-3),IF((INDEX(Routes!$M$6:$M$9,$C204)*INDEX(Routes!$Y$6:$Y$9,$C204)*F204)&lt;=5,3.65+0.6*((INDEX(Routes!$M$6:$M$9,$C204)*INDEX(Routes!$Y$6:$Y$9,$C204)*F204)-4),4.25+0.5*((INDEX(Routes!$M$6:$M$9,$C204)*INDEX(Routes!$Y$6:$Y$9,$C204)*F204)-5)))))</f>
        <v>0</v>
      </c>
    </row>
    <row r="205" customFormat="false" ht="15" hidden="false" customHeight="false" outlineLevel="0" collapsed="false">
      <c r="A205" s="2" t="s">
        <v>701</v>
      </c>
      <c r="B205" s="2" t="s">
        <v>674</v>
      </c>
      <c r="C205" s="16" t="n">
        <f aca="false">Sw_Route</f>
        <v>1</v>
      </c>
      <c r="D205" s="70" t="n">
        <v>104</v>
      </c>
      <c r="E205" s="88" t="n">
        <f aca="false">FreightMult</f>
        <v>1</v>
      </c>
      <c r="F205" s="88" t="n">
        <f aca="false">PortMult</f>
        <v>1</v>
      </c>
      <c r="G205" s="89" t="n">
        <f aca="false">UtilFH</f>
        <v>0.85</v>
      </c>
      <c r="H205" s="89" t="n">
        <f aca="false">UtilBH</f>
        <v>0.5</v>
      </c>
      <c r="I205" s="95" t="n">
        <v>12.5</v>
      </c>
      <c r="J205" s="88" t="n">
        <f aca="false">PortCostMult</f>
        <v>1</v>
      </c>
      <c r="K205" s="90" t="n">
        <f aca="false">EUA</f>
        <v>75</v>
      </c>
      <c r="L205" s="71" t="n">
        <f aca="false">INDEX(Routes!$E$6:$E$9,$C205)</f>
        <v>5000</v>
      </c>
      <c r="M205" s="72" t="n">
        <f aca="false">INDEX(Routes!$F$6:$F$9,$C205)/L205</f>
        <v>0.13</v>
      </c>
      <c r="N205" s="77" t="n">
        <f aca="false">2*L205*(1+SeaMargin)/(I205*24)</f>
        <v>35</v>
      </c>
      <c r="O205" s="84" t="n">
        <f aca="false">(I205/RefSpeed)^SpeedExp</f>
        <v>0.79383224102017</v>
      </c>
      <c r="P205" s="2" t="n">
        <f aca="false">IF(H205&gt;0,1,0)</f>
        <v>1</v>
      </c>
      <c r="Q205" s="71" t="n">
        <f aca="false">N205/2*O205*(ConsLaden+IF(P205=1,ConsLaden,ConsBallast))</f>
        <v>750.17146776406</v>
      </c>
      <c r="R205" s="71" t="n">
        <f aca="false">Q205*(1-M205)</f>
        <v>652.649176954733</v>
      </c>
      <c r="S205" s="71" t="n">
        <f aca="false">Q205*M205</f>
        <v>97.5222908093279</v>
      </c>
      <c r="T205" s="2" t="n">
        <f aca="false">1+P205</f>
        <v>2</v>
      </c>
      <c r="U205" s="77" t="n">
        <f aca="false">INDEX(Routes!$L$6:$L$9,$C205)*T205*F205</f>
        <v>10</v>
      </c>
      <c r="V205" s="77" t="n">
        <f aca="false">INDEX(Routes!$M$6:$M$9,$C205)*T205*F205</f>
        <v>7</v>
      </c>
      <c r="W205" s="77" t="n">
        <f aca="false">INDEX(Routes!$H$6:$H$9,$C205)*2</f>
        <v>0</v>
      </c>
      <c r="X205" s="71" t="n">
        <f aca="false">(U205+V205+W205)*ConsPort</f>
        <v>102</v>
      </c>
      <c r="Y205" s="67" t="n">
        <f aca="false">R205*D205*VLSFO_Mult+(S205+X205)*D205*MGO_Mult</f>
        <v>723919.5478738</v>
      </c>
      <c r="Z205" s="67" t="n">
        <f aca="false">(INDEX(Routes!$N$6:$N$9,$C205)+AN205+MIN(AC205*INDEX(Routes!$T$6:$T$9,$C205),INDEX(Routes!$V$6:$V$9,$C205))+INDEX(Routes!$O$6:$O$9,$C205)+AO205+MIN(AC205*INDEX(Routes!$U$6:$U$9,$C205),INDEX(Routes!$W$6:$W$9,$C205))+IF(P205=1,INDEX(Routes!$N$6:$N$9,$C205)+AN205+MIN(AD205*INDEX(Routes!$T$6:$T$9,$C205),INDEX(Routes!$V$6:$V$9,$C205))+INDEX(Routes!$O$6:$O$9,$C205)+AO205+MIN(AD205*INDEX(Routes!$U$6:$U$9,$C205),INDEX(Routes!$W$6:$W$9,$C205)),0))*J205</f>
        <v>252304.2096</v>
      </c>
      <c r="AA205" s="67" t="n">
        <f aca="false">INDEX(Routes!$R$6:$R$9,$C205)+IF(P205=1,INDEX(Routes!$R$6:$R$9,$C205),INDEX(Routes!$S$6:$S$9,$C205))</f>
        <v>0</v>
      </c>
      <c r="AB205" s="67" t="n">
        <f aca="false">((R205*CO2_VLSFO+S205*CO2_MGO)*INDEX(Routes!$I$6:$I$9,$C205)+(U205*INDEX(Routes!$P$6:$P$9,$C205)+V205*INDEX(Routes!$Q$6:$Q$9,$C205))*ConsPort*CO2_MGO)*PhaseIn*K205*FX</f>
        <v>107840.287556584</v>
      </c>
      <c r="AC205" s="71" t="n">
        <f aca="false">Capacity*G205</f>
        <v>30600</v>
      </c>
      <c r="AD205" s="71" t="n">
        <f aca="false">Capacity*H205</f>
        <v>18000</v>
      </c>
      <c r="AE205" s="82" t="n">
        <f aca="false">INDEX(Routes!$J$6:$J$9,$C205)*E205</f>
        <v>52</v>
      </c>
      <c r="AF205" s="82" t="n">
        <f aca="false">INDEX(Routes!$K$6:$K$9,$C205)*E205</f>
        <v>38</v>
      </c>
      <c r="AG205" s="67" t="n">
        <f aca="false">AC205*AE205+AD205*AF205</f>
        <v>2275200</v>
      </c>
      <c r="AH205" s="67" t="n">
        <f aca="false">AG205*Commission</f>
        <v>56880</v>
      </c>
      <c r="AI205" s="67" t="n">
        <f aca="false">Y205+Z205+AA205+AB205+MiscVoy</f>
        <v>1109064.04503038</v>
      </c>
      <c r="AJ205" s="77" t="n">
        <f aca="false">N205+U205+V205+W205</f>
        <v>52</v>
      </c>
      <c r="AK205" s="94" t="n">
        <f aca="false">(AG205-AH205-AI205)/AJ205</f>
        <v>21331.8452878772</v>
      </c>
      <c r="AL205" s="67" t="n">
        <f aca="false">AG205-AH205-AI205-Benchmark*AJ205</f>
        <v>173255.954969616</v>
      </c>
      <c r="AM205" s="82" t="n">
        <f aca="false">IF(AC205&gt;0,((Benchmark*AJ205+AI205)/(1-Commission)-AD205*AF205)/AC205,0)</f>
        <v>46.1928622433512</v>
      </c>
      <c r="AN205" s="67" t="n">
        <f aca="false">LOA_ft*Port_Tariffs!$C$9*IF((INDEX(Routes!$L$6:$L$9,$C205)*INDEX(Routes!$X$6:$X$9,$C205)*F205)&lt;=2,(INDEX(Routes!$L$6:$L$9,$C205)*INDEX(Routes!$X$6:$X$9,$C205)*F205),IF((INDEX(Routes!$L$6:$L$9,$C205)*INDEX(Routes!$X$6:$X$9,$C205)*F205)&lt;=3,2+0.9*((INDEX(Routes!$L$6:$L$9,$C205)*INDEX(Routes!$X$6:$X$9,$C205)*F205)-2),IF((INDEX(Routes!$L$6:$L$9,$C205)*INDEX(Routes!$X$6:$X$9,$C205)*F205)&lt;=4,2.9+0.75*((INDEX(Routes!$L$6:$L$9,$C205)*INDEX(Routes!$X$6:$X$9,$C205)*F205)-3),IF((INDEX(Routes!$L$6:$L$9,$C205)*INDEX(Routes!$X$6:$X$9,$C205)*F205)&lt;=5,3.65+0.6*((INDEX(Routes!$L$6:$L$9,$C205)*INDEX(Routes!$X$6:$X$9,$C205)*F205)-4),4.25+0.5*((INDEX(Routes!$L$6:$L$9,$C205)*INDEX(Routes!$X$6:$X$9,$C205)*F205)-5)))))</f>
        <v>19557.6</v>
      </c>
      <c r="AO205" s="67" t="n">
        <f aca="false">LOA_ft*Port_Tariffs!$C$9*IF((INDEX(Routes!$M$6:$M$9,$C205)*INDEX(Routes!$Y$6:$Y$9,$C205)*F205)&lt;=2,(INDEX(Routes!$M$6:$M$9,$C205)*INDEX(Routes!$Y$6:$Y$9,$C205)*F205),IF((INDEX(Routes!$M$6:$M$9,$C205)*INDEX(Routes!$Y$6:$Y$9,$C205)*F205)&lt;=3,2+0.9*((INDEX(Routes!$M$6:$M$9,$C205)*INDEX(Routes!$Y$6:$Y$9,$C205)*F205)-2),IF((INDEX(Routes!$M$6:$M$9,$C205)*INDEX(Routes!$Y$6:$Y$9,$C205)*F205)&lt;=4,2.9+0.75*((INDEX(Routes!$M$6:$M$9,$C205)*INDEX(Routes!$Y$6:$Y$9,$C205)*F205)-3),IF((INDEX(Routes!$M$6:$M$9,$C205)*INDEX(Routes!$Y$6:$Y$9,$C205)*F205)&lt;=5,3.65+0.6*((INDEX(Routes!$M$6:$M$9,$C205)*INDEX(Routes!$Y$6:$Y$9,$C205)*F205)-4),4.25+0.5*((INDEX(Routes!$M$6:$M$9,$C205)*INDEX(Routes!$Y$6:$Y$9,$C205)*F205)-5)))))</f>
        <v>0</v>
      </c>
    </row>
    <row r="206" customFormat="false" ht="15" hidden="false" customHeight="false" outlineLevel="0" collapsed="false">
      <c r="A206" s="2" t="s">
        <v>702</v>
      </c>
      <c r="B206" s="2" t="s">
        <v>674</v>
      </c>
      <c r="C206" s="16" t="n">
        <f aca="false">Sw_Route</f>
        <v>1</v>
      </c>
      <c r="D206" s="70" t="n">
        <v>104</v>
      </c>
      <c r="E206" s="88" t="n">
        <f aca="false">FreightMult</f>
        <v>1</v>
      </c>
      <c r="F206" s="88" t="n">
        <f aca="false">PortMult</f>
        <v>1</v>
      </c>
      <c r="G206" s="89" t="n">
        <f aca="false">UtilFH</f>
        <v>0.85</v>
      </c>
      <c r="H206" s="89" t="n">
        <f aca="false">UtilBH</f>
        <v>0.5</v>
      </c>
      <c r="I206" s="95" t="n">
        <v>13</v>
      </c>
      <c r="J206" s="88" t="n">
        <f aca="false">PortCostMult</f>
        <v>1</v>
      </c>
      <c r="K206" s="90" t="n">
        <f aca="false">EUA</f>
        <v>75</v>
      </c>
      <c r="L206" s="71" t="n">
        <f aca="false">INDEX(Routes!$E$6:$E$9,$C206)</f>
        <v>5000</v>
      </c>
      <c r="M206" s="72" t="n">
        <f aca="false">INDEX(Routes!$F$6:$F$9,$C206)/L206</f>
        <v>0.13</v>
      </c>
      <c r="N206" s="77" t="n">
        <f aca="false">2*L206*(1+SeaMargin)/(I206*24)</f>
        <v>33.6538461538462</v>
      </c>
      <c r="O206" s="84" t="n">
        <f aca="false">(I206/RefSpeed)^SpeedExp</f>
        <v>0.892953309962912</v>
      </c>
      <c r="P206" s="2" t="n">
        <f aca="false">IF(H206&gt;0,1,0)</f>
        <v>1</v>
      </c>
      <c r="Q206" s="71" t="n">
        <f aca="false">N206/2*O206*(ConsLaden+IF(P206=1,ConsLaden,ConsBallast))</f>
        <v>811.385459533608</v>
      </c>
      <c r="R206" s="71" t="n">
        <f aca="false">Q206*(1-M206)</f>
        <v>705.905349794239</v>
      </c>
      <c r="S206" s="71" t="n">
        <f aca="false">Q206*M206</f>
        <v>105.480109739369</v>
      </c>
      <c r="T206" s="2" t="n">
        <f aca="false">1+P206</f>
        <v>2</v>
      </c>
      <c r="U206" s="77" t="n">
        <f aca="false">INDEX(Routes!$L$6:$L$9,$C206)*T206*F206</f>
        <v>10</v>
      </c>
      <c r="V206" s="77" t="n">
        <f aca="false">INDEX(Routes!$M$6:$M$9,$C206)*T206*F206</f>
        <v>7</v>
      </c>
      <c r="W206" s="77" t="n">
        <f aca="false">INDEX(Routes!$H$6:$H$9,$C206)*2</f>
        <v>0</v>
      </c>
      <c r="X206" s="71" t="n">
        <f aca="false">(U206+V206+W206)*ConsPort</f>
        <v>102</v>
      </c>
      <c r="Y206" s="67" t="n">
        <f aca="false">R206*D206*VLSFO_Mult+(S206+X206)*D206*MGO_Mult</f>
        <v>774594.938820302</v>
      </c>
      <c r="Z206" s="67" t="n">
        <f aca="false">(INDEX(Routes!$N$6:$N$9,$C206)+AN206+MIN(AC206*INDEX(Routes!$T$6:$T$9,$C206),INDEX(Routes!$V$6:$V$9,$C206))+INDEX(Routes!$O$6:$O$9,$C206)+AO206+MIN(AC206*INDEX(Routes!$U$6:$U$9,$C206),INDEX(Routes!$W$6:$W$9,$C206))+IF(P206=1,INDEX(Routes!$N$6:$N$9,$C206)+AN206+MIN(AD206*INDEX(Routes!$T$6:$T$9,$C206),INDEX(Routes!$V$6:$V$9,$C206))+INDEX(Routes!$O$6:$O$9,$C206)+AO206+MIN(AD206*INDEX(Routes!$U$6:$U$9,$C206),INDEX(Routes!$W$6:$W$9,$C206)),0))*J206</f>
        <v>252304.2096</v>
      </c>
      <c r="AA206" s="67" t="n">
        <f aca="false">INDEX(Routes!$R$6:$R$9,$C206)+IF(P206=1,INDEX(Routes!$R$6:$R$9,$C206),INDEX(Routes!$S$6:$S$9,$C206))</f>
        <v>0</v>
      </c>
      <c r="AB206" s="67" t="n">
        <f aca="false">((R206*CO2_VLSFO+S206*CO2_MGO)*INDEX(Routes!$I$6:$I$9,$C206)+(U206*INDEX(Routes!$P$6:$P$9,$C206)+V206*INDEX(Routes!$Q$6:$Q$9,$C206))*ConsPort*CO2_MGO)*PhaseIn*K206*FX</f>
        <v>115733.577757202</v>
      </c>
      <c r="AC206" s="71" t="n">
        <f aca="false">Capacity*G206</f>
        <v>30600</v>
      </c>
      <c r="AD206" s="71" t="n">
        <f aca="false">Capacity*H206</f>
        <v>18000</v>
      </c>
      <c r="AE206" s="82" t="n">
        <f aca="false">INDEX(Routes!$J$6:$J$9,$C206)*E206</f>
        <v>52</v>
      </c>
      <c r="AF206" s="82" t="n">
        <f aca="false">INDEX(Routes!$K$6:$K$9,$C206)*E206</f>
        <v>38</v>
      </c>
      <c r="AG206" s="67" t="n">
        <f aca="false">AC206*AE206+AD206*AF206</f>
        <v>2275200</v>
      </c>
      <c r="AH206" s="67" t="n">
        <f aca="false">AG206*Commission</f>
        <v>56880</v>
      </c>
      <c r="AI206" s="67" t="n">
        <f aca="false">Y206+Z206+AA206+AB206+MiscVoy</f>
        <v>1167632.7261775</v>
      </c>
      <c r="AJ206" s="77" t="n">
        <f aca="false">N206+U206+V206+W206</f>
        <v>50.6538461538462</v>
      </c>
      <c r="AK206" s="94" t="n">
        <f aca="false">(AG206-AH206-AI206)/AJ206</f>
        <v>20742.4974330941</v>
      </c>
      <c r="AL206" s="67" t="n">
        <f aca="false">AG206-AH206-AI206-Benchmark*AJ206</f>
        <v>138918.043053266</v>
      </c>
      <c r="AM206" s="82" t="n">
        <f aca="false">IF(AC206&gt;0,((Benchmark*AJ206+AI206)/(1-Commission)-AD206*AF206)/AC206,0)</f>
        <v>47.3437894066276</v>
      </c>
      <c r="AN206" s="67" t="n">
        <f aca="false">LOA_ft*Port_Tariffs!$C$9*IF((INDEX(Routes!$L$6:$L$9,$C206)*INDEX(Routes!$X$6:$X$9,$C206)*F206)&lt;=2,(INDEX(Routes!$L$6:$L$9,$C206)*INDEX(Routes!$X$6:$X$9,$C206)*F206),IF((INDEX(Routes!$L$6:$L$9,$C206)*INDEX(Routes!$X$6:$X$9,$C206)*F206)&lt;=3,2+0.9*((INDEX(Routes!$L$6:$L$9,$C206)*INDEX(Routes!$X$6:$X$9,$C206)*F206)-2),IF((INDEX(Routes!$L$6:$L$9,$C206)*INDEX(Routes!$X$6:$X$9,$C206)*F206)&lt;=4,2.9+0.75*((INDEX(Routes!$L$6:$L$9,$C206)*INDEX(Routes!$X$6:$X$9,$C206)*F206)-3),IF((INDEX(Routes!$L$6:$L$9,$C206)*INDEX(Routes!$X$6:$X$9,$C206)*F206)&lt;=5,3.65+0.6*((INDEX(Routes!$L$6:$L$9,$C206)*INDEX(Routes!$X$6:$X$9,$C206)*F206)-4),4.25+0.5*((INDEX(Routes!$L$6:$L$9,$C206)*INDEX(Routes!$X$6:$X$9,$C206)*F206)-5)))))</f>
        <v>19557.6</v>
      </c>
      <c r="AO206" s="67" t="n">
        <f aca="false">LOA_ft*Port_Tariffs!$C$9*IF((INDEX(Routes!$M$6:$M$9,$C206)*INDEX(Routes!$Y$6:$Y$9,$C206)*F206)&lt;=2,(INDEX(Routes!$M$6:$M$9,$C206)*INDEX(Routes!$Y$6:$Y$9,$C206)*F206),IF((INDEX(Routes!$M$6:$M$9,$C206)*INDEX(Routes!$Y$6:$Y$9,$C206)*F206)&lt;=3,2+0.9*((INDEX(Routes!$M$6:$M$9,$C206)*INDEX(Routes!$Y$6:$Y$9,$C206)*F206)-2),IF((INDEX(Routes!$M$6:$M$9,$C206)*INDEX(Routes!$Y$6:$Y$9,$C206)*F206)&lt;=4,2.9+0.75*((INDEX(Routes!$M$6:$M$9,$C206)*INDEX(Routes!$Y$6:$Y$9,$C206)*F206)-3),IF((INDEX(Routes!$M$6:$M$9,$C206)*INDEX(Routes!$Y$6:$Y$9,$C206)*F206)&lt;=5,3.65+0.6*((INDEX(Routes!$M$6:$M$9,$C206)*INDEX(Routes!$Y$6:$Y$9,$C206)*F206)-4),4.25+0.5*((INDEX(Routes!$M$6:$M$9,$C206)*INDEX(Routes!$Y$6:$Y$9,$C206)*F206)-5)))))</f>
        <v>0</v>
      </c>
    </row>
    <row r="207" customFormat="false" ht="15" hidden="false" customHeight="false" outlineLevel="0" collapsed="false">
      <c r="A207" s="2" t="s">
        <v>703</v>
      </c>
      <c r="B207" s="2" t="s">
        <v>674</v>
      </c>
      <c r="C207" s="16" t="n">
        <f aca="false">Sw_Route</f>
        <v>1</v>
      </c>
      <c r="D207" s="70" t="n">
        <v>104</v>
      </c>
      <c r="E207" s="88" t="n">
        <f aca="false">FreightMult</f>
        <v>1</v>
      </c>
      <c r="F207" s="88" t="n">
        <f aca="false">PortMult</f>
        <v>1</v>
      </c>
      <c r="G207" s="89" t="n">
        <f aca="false">UtilFH</f>
        <v>0.85</v>
      </c>
      <c r="H207" s="89" t="n">
        <f aca="false">UtilBH</f>
        <v>0.5</v>
      </c>
      <c r="I207" s="95" t="n">
        <v>13.5</v>
      </c>
      <c r="J207" s="88" t="n">
        <f aca="false">PortCostMult</f>
        <v>1</v>
      </c>
      <c r="K207" s="90" t="n">
        <f aca="false">EUA</f>
        <v>75</v>
      </c>
      <c r="L207" s="71" t="n">
        <f aca="false">INDEX(Routes!$E$6:$E$9,$C207)</f>
        <v>5000</v>
      </c>
      <c r="M207" s="72" t="n">
        <f aca="false">INDEX(Routes!$F$6:$F$9,$C207)/L207</f>
        <v>0.13</v>
      </c>
      <c r="N207" s="77" t="n">
        <f aca="false">2*L207*(1+SeaMargin)/(I207*24)</f>
        <v>32.4074074074074</v>
      </c>
      <c r="O207" s="84" t="n">
        <f aca="false">(I207/RefSpeed)^SpeedExp</f>
        <v>1</v>
      </c>
      <c r="P207" s="2" t="n">
        <f aca="false">IF(H207&gt;0,1,0)</f>
        <v>1</v>
      </c>
      <c r="Q207" s="71" t="n">
        <f aca="false">N207/2*O207*(ConsLaden+IF(P207=1,ConsLaden,ConsBallast))</f>
        <v>875</v>
      </c>
      <c r="R207" s="71" t="n">
        <f aca="false">Q207*(1-M207)</f>
        <v>761.25</v>
      </c>
      <c r="S207" s="71" t="n">
        <f aca="false">Q207*M207</f>
        <v>113.75</v>
      </c>
      <c r="T207" s="2" t="n">
        <f aca="false">1+P207</f>
        <v>2</v>
      </c>
      <c r="U207" s="77" t="n">
        <f aca="false">INDEX(Routes!$L$6:$L$9,$C207)*T207*F207</f>
        <v>10</v>
      </c>
      <c r="V207" s="77" t="n">
        <f aca="false">INDEX(Routes!$M$6:$M$9,$C207)*T207*F207</f>
        <v>7</v>
      </c>
      <c r="W207" s="77" t="n">
        <f aca="false">INDEX(Routes!$H$6:$H$9,$C207)*2</f>
        <v>0</v>
      </c>
      <c r="X207" s="71" t="n">
        <f aca="false">(U207+V207+W207)*ConsPort</f>
        <v>102</v>
      </c>
      <c r="Y207" s="67" t="n">
        <f aca="false">R207*D207*VLSFO_Mult+(S207+X207)*D207*MGO_Mult</f>
        <v>827257.6</v>
      </c>
      <c r="Z207" s="67" t="n">
        <f aca="false">(INDEX(Routes!$N$6:$N$9,$C207)+AN207+MIN(AC207*INDEX(Routes!$T$6:$T$9,$C207),INDEX(Routes!$V$6:$V$9,$C207))+INDEX(Routes!$O$6:$O$9,$C207)+AO207+MIN(AC207*INDEX(Routes!$U$6:$U$9,$C207),INDEX(Routes!$W$6:$W$9,$C207))+IF(P207=1,INDEX(Routes!$N$6:$N$9,$C207)+AN207+MIN(AD207*INDEX(Routes!$T$6:$T$9,$C207),INDEX(Routes!$V$6:$V$9,$C207))+INDEX(Routes!$O$6:$O$9,$C207)+AO207+MIN(AD207*INDEX(Routes!$U$6:$U$9,$C207),INDEX(Routes!$W$6:$W$9,$C207)),0))*J207</f>
        <v>252304.2096</v>
      </c>
      <c r="AA207" s="67" t="n">
        <f aca="false">INDEX(Routes!$R$6:$R$9,$C207)+IF(P207=1,INDEX(Routes!$R$6:$R$9,$C207),INDEX(Routes!$S$6:$S$9,$C207))</f>
        <v>0</v>
      </c>
      <c r="AB207" s="67" t="n">
        <f aca="false">((R207*CO2_VLSFO+S207*CO2_MGO)*INDEX(Routes!$I$6:$I$9,$C207)+(U207*INDEX(Routes!$P$6:$P$9,$C207)+V207*INDEX(Routes!$Q$6:$Q$9,$C207))*ConsPort*CO2_MGO)*PhaseIn*K207*FX</f>
        <v>123936.40875</v>
      </c>
      <c r="AC207" s="71" t="n">
        <f aca="false">Capacity*G207</f>
        <v>30600</v>
      </c>
      <c r="AD207" s="71" t="n">
        <f aca="false">Capacity*H207</f>
        <v>18000</v>
      </c>
      <c r="AE207" s="82" t="n">
        <f aca="false">INDEX(Routes!$J$6:$J$9,$C207)*E207</f>
        <v>52</v>
      </c>
      <c r="AF207" s="82" t="n">
        <f aca="false">INDEX(Routes!$K$6:$K$9,$C207)*E207</f>
        <v>38</v>
      </c>
      <c r="AG207" s="67" t="n">
        <f aca="false">AC207*AE207+AD207*AF207</f>
        <v>2275200</v>
      </c>
      <c r="AH207" s="67" t="n">
        <f aca="false">AG207*Commission</f>
        <v>56880</v>
      </c>
      <c r="AI207" s="67" t="n">
        <f aca="false">Y207+Z207+AA207+AB207+MiscVoy</f>
        <v>1228498.21835</v>
      </c>
      <c r="AJ207" s="77" t="n">
        <f aca="false">N207+U207+V207+W207</f>
        <v>49.4074074074074</v>
      </c>
      <c r="AK207" s="94" t="n">
        <f aca="false">(AG207-AH207-AI207)/AJ207</f>
        <v>20033.8741413418</v>
      </c>
      <c r="AL207" s="67" t="n">
        <f aca="false">AG207-AH207-AI207-Benchmark*AJ207</f>
        <v>100488.448316667</v>
      </c>
      <c r="AM207" s="82" t="n">
        <f aca="false">IF(AC207&gt;0,((Benchmark*AJ207+AI207)/(1-Commission)-AD207*AF207)/AC207,0)</f>
        <v>48.6318602876934</v>
      </c>
      <c r="AN207" s="67" t="n">
        <f aca="false">LOA_ft*Port_Tariffs!$C$9*IF((INDEX(Routes!$L$6:$L$9,$C207)*INDEX(Routes!$X$6:$X$9,$C207)*F207)&lt;=2,(INDEX(Routes!$L$6:$L$9,$C207)*INDEX(Routes!$X$6:$X$9,$C207)*F207),IF((INDEX(Routes!$L$6:$L$9,$C207)*INDEX(Routes!$X$6:$X$9,$C207)*F207)&lt;=3,2+0.9*((INDEX(Routes!$L$6:$L$9,$C207)*INDEX(Routes!$X$6:$X$9,$C207)*F207)-2),IF((INDEX(Routes!$L$6:$L$9,$C207)*INDEX(Routes!$X$6:$X$9,$C207)*F207)&lt;=4,2.9+0.75*((INDEX(Routes!$L$6:$L$9,$C207)*INDEX(Routes!$X$6:$X$9,$C207)*F207)-3),IF((INDEX(Routes!$L$6:$L$9,$C207)*INDEX(Routes!$X$6:$X$9,$C207)*F207)&lt;=5,3.65+0.6*((INDEX(Routes!$L$6:$L$9,$C207)*INDEX(Routes!$X$6:$X$9,$C207)*F207)-4),4.25+0.5*((INDEX(Routes!$L$6:$L$9,$C207)*INDEX(Routes!$X$6:$X$9,$C207)*F207)-5)))))</f>
        <v>19557.6</v>
      </c>
      <c r="AO207" s="67" t="n">
        <f aca="false">LOA_ft*Port_Tariffs!$C$9*IF((INDEX(Routes!$M$6:$M$9,$C207)*INDEX(Routes!$Y$6:$Y$9,$C207)*F207)&lt;=2,(INDEX(Routes!$M$6:$M$9,$C207)*INDEX(Routes!$Y$6:$Y$9,$C207)*F207),IF((INDEX(Routes!$M$6:$M$9,$C207)*INDEX(Routes!$Y$6:$Y$9,$C207)*F207)&lt;=3,2+0.9*((INDEX(Routes!$M$6:$M$9,$C207)*INDEX(Routes!$Y$6:$Y$9,$C207)*F207)-2),IF((INDEX(Routes!$M$6:$M$9,$C207)*INDEX(Routes!$Y$6:$Y$9,$C207)*F207)&lt;=4,2.9+0.75*((INDEX(Routes!$M$6:$M$9,$C207)*INDEX(Routes!$Y$6:$Y$9,$C207)*F207)-3),IF((INDEX(Routes!$M$6:$M$9,$C207)*INDEX(Routes!$Y$6:$Y$9,$C207)*F207)&lt;=5,3.65+0.6*((INDEX(Routes!$M$6:$M$9,$C207)*INDEX(Routes!$Y$6:$Y$9,$C207)*F207)-4),4.25+0.5*((INDEX(Routes!$M$6:$M$9,$C207)*INDEX(Routes!$Y$6:$Y$9,$C207)*F207)-5)))))</f>
        <v>0</v>
      </c>
    </row>
    <row r="208" customFormat="false" ht="15" hidden="false" customHeight="false" outlineLevel="0" collapsed="false">
      <c r="A208" s="2" t="s">
        <v>704</v>
      </c>
      <c r="B208" s="2" t="s">
        <v>674</v>
      </c>
      <c r="C208" s="16" t="n">
        <f aca="false">Sw_Route</f>
        <v>1</v>
      </c>
      <c r="D208" s="70" t="n">
        <v>104</v>
      </c>
      <c r="E208" s="88" t="n">
        <f aca="false">FreightMult</f>
        <v>1</v>
      </c>
      <c r="F208" s="88" t="n">
        <f aca="false">PortMult</f>
        <v>1</v>
      </c>
      <c r="G208" s="89" t="n">
        <f aca="false">UtilFH</f>
        <v>0.85</v>
      </c>
      <c r="H208" s="89" t="n">
        <f aca="false">UtilBH</f>
        <v>0.5</v>
      </c>
      <c r="I208" s="95" t="n">
        <v>14</v>
      </c>
      <c r="J208" s="88" t="n">
        <f aca="false">PortCostMult</f>
        <v>1</v>
      </c>
      <c r="K208" s="90" t="n">
        <f aca="false">EUA</f>
        <v>75</v>
      </c>
      <c r="L208" s="71" t="n">
        <f aca="false">INDEX(Routes!$E$6:$E$9,$C208)</f>
        <v>5000</v>
      </c>
      <c r="M208" s="72" t="n">
        <f aca="false">INDEX(Routes!$F$6:$F$9,$C208)/L208</f>
        <v>0.13</v>
      </c>
      <c r="N208" s="77" t="n">
        <f aca="false">2*L208*(1+SeaMargin)/(I208*24)</f>
        <v>31.25</v>
      </c>
      <c r="O208" s="84" t="n">
        <f aca="false">(I208/RefSpeed)^SpeedExp</f>
        <v>1.11527714271198</v>
      </c>
      <c r="P208" s="2" t="n">
        <f aca="false">IF(H208&gt;0,1,0)</f>
        <v>1</v>
      </c>
      <c r="Q208" s="71" t="n">
        <f aca="false">N208/2*O208*(ConsLaden+IF(P208=1,ConsLaden,ConsBallast))</f>
        <v>941.015089163237</v>
      </c>
      <c r="R208" s="71" t="n">
        <f aca="false">Q208*(1-M208)</f>
        <v>818.683127572016</v>
      </c>
      <c r="S208" s="71" t="n">
        <f aca="false">Q208*M208</f>
        <v>122.331961591221</v>
      </c>
      <c r="T208" s="2" t="n">
        <f aca="false">1+P208</f>
        <v>2</v>
      </c>
      <c r="U208" s="77" t="n">
        <f aca="false">INDEX(Routes!$L$6:$L$9,$C208)*T208*F208</f>
        <v>10</v>
      </c>
      <c r="V208" s="77" t="n">
        <f aca="false">INDEX(Routes!$M$6:$M$9,$C208)*T208*F208</f>
        <v>7</v>
      </c>
      <c r="W208" s="77" t="n">
        <f aca="false">INDEX(Routes!$H$6:$H$9,$C208)*2</f>
        <v>0</v>
      </c>
      <c r="X208" s="71" t="n">
        <f aca="false">(U208+V208+W208)*ConsPort</f>
        <v>102</v>
      </c>
      <c r="Y208" s="67" t="n">
        <f aca="false">R208*D208*VLSFO_Mult+(S208+X208)*D208*MGO_Mult</f>
        <v>881907.531412894</v>
      </c>
      <c r="Z208" s="67" t="n">
        <f aca="false">(INDEX(Routes!$N$6:$N$9,$C208)+AN208+MIN(AC208*INDEX(Routes!$T$6:$T$9,$C208),INDEX(Routes!$V$6:$V$9,$C208))+INDEX(Routes!$O$6:$O$9,$C208)+AO208+MIN(AC208*INDEX(Routes!$U$6:$U$9,$C208),INDEX(Routes!$W$6:$W$9,$C208))+IF(P208=1,INDEX(Routes!$N$6:$N$9,$C208)+AN208+MIN(AD208*INDEX(Routes!$T$6:$T$9,$C208),INDEX(Routes!$V$6:$V$9,$C208))+INDEX(Routes!$O$6:$O$9,$C208)+AO208+MIN(AD208*INDEX(Routes!$U$6:$U$9,$C208),INDEX(Routes!$W$6:$W$9,$C208)),0))*J208</f>
        <v>252304.2096</v>
      </c>
      <c r="AA208" s="67" t="n">
        <f aca="false">INDEX(Routes!$R$6:$R$9,$C208)+IF(P208=1,INDEX(Routes!$R$6:$R$9,$C208),INDEX(Routes!$S$6:$S$9,$C208))</f>
        <v>0</v>
      </c>
      <c r="AB208" s="67" t="n">
        <f aca="false">((R208*CO2_VLSFO+S208*CO2_MGO)*INDEX(Routes!$I$6:$I$9,$C208)+(U208*INDEX(Routes!$P$6:$P$9,$C208)+V208*INDEX(Routes!$Q$6:$Q$9,$C208))*ConsPort*CO2_MGO)*PhaseIn*K208*FX</f>
        <v>132448.780534979</v>
      </c>
      <c r="AC208" s="71" t="n">
        <f aca="false">Capacity*G208</f>
        <v>30600</v>
      </c>
      <c r="AD208" s="71" t="n">
        <f aca="false">Capacity*H208</f>
        <v>18000</v>
      </c>
      <c r="AE208" s="82" t="n">
        <f aca="false">INDEX(Routes!$J$6:$J$9,$C208)*E208</f>
        <v>52</v>
      </c>
      <c r="AF208" s="82" t="n">
        <f aca="false">INDEX(Routes!$K$6:$K$9,$C208)*E208</f>
        <v>38</v>
      </c>
      <c r="AG208" s="67" t="n">
        <f aca="false">AC208*AE208+AD208*AF208</f>
        <v>2275200</v>
      </c>
      <c r="AH208" s="67" t="n">
        <f aca="false">AG208*Commission</f>
        <v>56880</v>
      </c>
      <c r="AI208" s="67" t="n">
        <f aca="false">Y208+Z208+AA208+AB208+MiscVoy</f>
        <v>1291660.52154787</v>
      </c>
      <c r="AJ208" s="77" t="n">
        <f aca="false">N208+U208+V208+W208</f>
        <v>48.25</v>
      </c>
      <c r="AK208" s="94" t="n">
        <f aca="false">(AG208-AH208-AI208)/AJ208</f>
        <v>19205.3777917539</v>
      </c>
      <c r="AL208" s="67" t="n">
        <f aca="false">AG208-AH208-AI208-Benchmark*AJ208</f>
        <v>58159.4784521263</v>
      </c>
      <c r="AM208" s="82" t="n">
        <f aca="false">IF(AC208&gt;0,((Benchmark*AJ208+AI208)/(1-Commission)-AD208*AF208)/AC208,0)</f>
        <v>50.0506291787456</v>
      </c>
      <c r="AN208" s="67" t="n">
        <f aca="false">LOA_ft*Port_Tariffs!$C$9*IF((INDEX(Routes!$L$6:$L$9,$C208)*INDEX(Routes!$X$6:$X$9,$C208)*F208)&lt;=2,(INDEX(Routes!$L$6:$L$9,$C208)*INDEX(Routes!$X$6:$X$9,$C208)*F208),IF((INDEX(Routes!$L$6:$L$9,$C208)*INDEX(Routes!$X$6:$X$9,$C208)*F208)&lt;=3,2+0.9*((INDEX(Routes!$L$6:$L$9,$C208)*INDEX(Routes!$X$6:$X$9,$C208)*F208)-2),IF((INDEX(Routes!$L$6:$L$9,$C208)*INDEX(Routes!$X$6:$X$9,$C208)*F208)&lt;=4,2.9+0.75*((INDEX(Routes!$L$6:$L$9,$C208)*INDEX(Routes!$X$6:$X$9,$C208)*F208)-3),IF((INDEX(Routes!$L$6:$L$9,$C208)*INDEX(Routes!$X$6:$X$9,$C208)*F208)&lt;=5,3.65+0.6*((INDEX(Routes!$L$6:$L$9,$C208)*INDEX(Routes!$X$6:$X$9,$C208)*F208)-4),4.25+0.5*((INDEX(Routes!$L$6:$L$9,$C208)*INDEX(Routes!$X$6:$X$9,$C208)*F208)-5)))))</f>
        <v>19557.6</v>
      </c>
      <c r="AO208" s="67" t="n">
        <f aca="false">LOA_ft*Port_Tariffs!$C$9*IF((INDEX(Routes!$M$6:$M$9,$C208)*INDEX(Routes!$Y$6:$Y$9,$C208)*F208)&lt;=2,(INDEX(Routes!$M$6:$M$9,$C208)*INDEX(Routes!$Y$6:$Y$9,$C208)*F208),IF((INDEX(Routes!$M$6:$M$9,$C208)*INDEX(Routes!$Y$6:$Y$9,$C208)*F208)&lt;=3,2+0.9*((INDEX(Routes!$M$6:$M$9,$C208)*INDEX(Routes!$Y$6:$Y$9,$C208)*F208)-2),IF((INDEX(Routes!$M$6:$M$9,$C208)*INDEX(Routes!$Y$6:$Y$9,$C208)*F208)&lt;=4,2.9+0.75*((INDEX(Routes!$M$6:$M$9,$C208)*INDEX(Routes!$Y$6:$Y$9,$C208)*F208)-3),IF((INDEX(Routes!$M$6:$M$9,$C208)*INDEX(Routes!$Y$6:$Y$9,$C208)*F208)&lt;=5,3.65+0.6*((INDEX(Routes!$M$6:$M$9,$C208)*INDEX(Routes!$Y$6:$Y$9,$C208)*F208)-4),4.25+0.5*((INDEX(Routes!$M$6:$M$9,$C208)*INDEX(Routes!$Y$6:$Y$9,$C208)*F208)-5)))))</f>
        <v>0</v>
      </c>
    </row>
    <row r="209" customFormat="false" ht="15" hidden="false" customHeight="false" outlineLevel="0" collapsed="false">
      <c r="A209" s="2" t="s">
        <v>705</v>
      </c>
      <c r="B209" s="2" t="s">
        <v>674</v>
      </c>
      <c r="C209" s="16" t="n">
        <f aca="false">Sw_Route</f>
        <v>1</v>
      </c>
      <c r="D209" s="70" t="n">
        <v>104</v>
      </c>
      <c r="E209" s="88" t="n">
        <f aca="false">FreightMult</f>
        <v>1</v>
      </c>
      <c r="F209" s="88" t="n">
        <f aca="false">PortMult</f>
        <v>1</v>
      </c>
      <c r="G209" s="89" t="n">
        <f aca="false">UtilFH</f>
        <v>0.85</v>
      </c>
      <c r="H209" s="89" t="n">
        <f aca="false">UtilBH</f>
        <v>0.5</v>
      </c>
      <c r="I209" s="95" t="n">
        <v>14.5</v>
      </c>
      <c r="J209" s="88" t="n">
        <f aca="false">PortCostMult</f>
        <v>1</v>
      </c>
      <c r="K209" s="90" t="n">
        <f aca="false">EUA</f>
        <v>75</v>
      </c>
      <c r="L209" s="71" t="n">
        <f aca="false">INDEX(Routes!$E$6:$E$9,$C209)</f>
        <v>5000</v>
      </c>
      <c r="M209" s="72" t="n">
        <f aca="false">INDEX(Routes!$F$6:$F$9,$C209)/L209</f>
        <v>0.13</v>
      </c>
      <c r="N209" s="77" t="n">
        <f aca="false">2*L209*(1+SeaMargin)/(I209*24)</f>
        <v>30.1724137931035</v>
      </c>
      <c r="O209" s="84" t="n">
        <f aca="false">(I209/RefSpeed)^SpeedExp</f>
        <v>1.23908956967942</v>
      </c>
      <c r="P209" s="2" t="n">
        <f aca="false">IF(H209&gt;0,1,0)</f>
        <v>1</v>
      </c>
      <c r="Q209" s="71" t="n">
        <f aca="false">N209/2*O209*(ConsLaden+IF(P209=1,ConsLaden,ConsBallast))</f>
        <v>1009.43072702332</v>
      </c>
      <c r="R209" s="71" t="n">
        <f aca="false">Q209*(1-M209)</f>
        <v>878.204732510288</v>
      </c>
      <c r="S209" s="71" t="n">
        <f aca="false">Q209*M209</f>
        <v>131.225994513032</v>
      </c>
      <c r="T209" s="2" t="n">
        <f aca="false">1+P209</f>
        <v>2</v>
      </c>
      <c r="U209" s="77" t="n">
        <f aca="false">INDEX(Routes!$L$6:$L$9,$C209)*T209*F209</f>
        <v>10</v>
      </c>
      <c r="V209" s="77" t="n">
        <f aca="false">INDEX(Routes!$M$6:$M$9,$C209)*T209*F209</f>
        <v>7</v>
      </c>
      <c r="W209" s="77" t="n">
        <f aca="false">INDEX(Routes!$H$6:$H$9,$C209)*2</f>
        <v>0</v>
      </c>
      <c r="X209" s="71" t="n">
        <f aca="false">(U209+V209+W209)*ConsPort</f>
        <v>102</v>
      </c>
      <c r="Y209" s="67" t="n">
        <f aca="false">R209*D209*VLSFO_Mult+(S209+X209)*D209*MGO_Mult</f>
        <v>938544.733058985</v>
      </c>
      <c r="Z209" s="67" t="n">
        <f aca="false">(INDEX(Routes!$N$6:$N$9,$C209)+AN209+MIN(AC209*INDEX(Routes!$T$6:$T$9,$C209),INDEX(Routes!$V$6:$V$9,$C209))+INDEX(Routes!$O$6:$O$9,$C209)+AO209+MIN(AC209*INDEX(Routes!$U$6:$U$9,$C209),INDEX(Routes!$W$6:$W$9,$C209))+IF(P209=1,INDEX(Routes!$N$6:$N$9,$C209)+AN209+MIN(AD209*INDEX(Routes!$T$6:$T$9,$C209),INDEX(Routes!$V$6:$V$9,$C209))+INDEX(Routes!$O$6:$O$9,$C209)+AO209+MIN(AD209*INDEX(Routes!$U$6:$U$9,$C209),INDEX(Routes!$W$6:$W$9,$C209)),0))*J209</f>
        <v>252304.2096</v>
      </c>
      <c r="AA209" s="67" t="n">
        <f aca="false">INDEX(Routes!$R$6:$R$9,$C209)+IF(P209=1,INDEX(Routes!$R$6:$R$9,$C209),INDEX(Routes!$S$6:$S$9,$C209))</f>
        <v>0</v>
      </c>
      <c r="AB209" s="67" t="n">
        <f aca="false">((R209*CO2_VLSFO+S209*CO2_MGO)*INDEX(Routes!$I$6:$I$9,$C209)+(U209*INDEX(Routes!$P$6:$P$9,$C209)+V209*INDEX(Routes!$Q$6:$Q$9,$C209))*ConsPort*CO2_MGO)*PhaseIn*K209*FX</f>
        <v>141270.69311214</v>
      </c>
      <c r="AC209" s="71" t="n">
        <f aca="false">Capacity*G209</f>
        <v>30600</v>
      </c>
      <c r="AD209" s="71" t="n">
        <f aca="false">Capacity*H209</f>
        <v>18000</v>
      </c>
      <c r="AE209" s="82" t="n">
        <f aca="false">INDEX(Routes!$J$6:$J$9,$C209)*E209</f>
        <v>52</v>
      </c>
      <c r="AF209" s="82" t="n">
        <f aca="false">INDEX(Routes!$K$6:$K$9,$C209)*E209</f>
        <v>38</v>
      </c>
      <c r="AG209" s="67" t="n">
        <f aca="false">AC209*AE209+AD209*AF209</f>
        <v>2275200</v>
      </c>
      <c r="AH209" s="67" t="n">
        <f aca="false">AG209*Commission</f>
        <v>56880</v>
      </c>
      <c r="AI209" s="67" t="n">
        <f aca="false">Y209+Z209+AA209+AB209+MiscVoy</f>
        <v>1357119.63577113</v>
      </c>
      <c r="AJ209" s="77" t="n">
        <f aca="false">N209+U209+V209+W209</f>
        <v>47.1724137931034</v>
      </c>
      <c r="AK209" s="94" t="n">
        <f aca="false">(AG209-AH209-AI209)/AJ209</f>
        <v>18256.4404697642</v>
      </c>
      <c r="AL209" s="67" t="n">
        <f aca="false">AG209-AH209-AI209-Benchmark*AJ209</f>
        <v>12096.9159530129</v>
      </c>
      <c r="AM209" s="82" t="n">
        <f aca="false">IF(AC209&gt;0,((Benchmark*AJ209+AI209)/(1-Commission)-AD209*AF209)/AC209,0)</f>
        <v>51.5945394351261</v>
      </c>
      <c r="AN209" s="67" t="n">
        <f aca="false">LOA_ft*Port_Tariffs!$C$9*IF((INDEX(Routes!$L$6:$L$9,$C209)*INDEX(Routes!$X$6:$X$9,$C209)*F209)&lt;=2,(INDEX(Routes!$L$6:$L$9,$C209)*INDEX(Routes!$X$6:$X$9,$C209)*F209),IF((INDEX(Routes!$L$6:$L$9,$C209)*INDEX(Routes!$X$6:$X$9,$C209)*F209)&lt;=3,2+0.9*((INDEX(Routes!$L$6:$L$9,$C209)*INDEX(Routes!$X$6:$X$9,$C209)*F209)-2),IF((INDEX(Routes!$L$6:$L$9,$C209)*INDEX(Routes!$X$6:$X$9,$C209)*F209)&lt;=4,2.9+0.75*((INDEX(Routes!$L$6:$L$9,$C209)*INDEX(Routes!$X$6:$X$9,$C209)*F209)-3),IF((INDEX(Routes!$L$6:$L$9,$C209)*INDEX(Routes!$X$6:$X$9,$C209)*F209)&lt;=5,3.65+0.6*((INDEX(Routes!$L$6:$L$9,$C209)*INDEX(Routes!$X$6:$X$9,$C209)*F209)-4),4.25+0.5*((INDEX(Routes!$L$6:$L$9,$C209)*INDEX(Routes!$X$6:$X$9,$C209)*F209)-5)))))</f>
        <v>19557.6</v>
      </c>
      <c r="AO209" s="67" t="n">
        <f aca="false">LOA_ft*Port_Tariffs!$C$9*IF((INDEX(Routes!$M$6:$M$9,$C209)*INDEX(Routes!$Y$6:$Y$9,$C209)*F209)&lt;=2,(INDEX(Routes!$M$6:$M$9,$C209)*INDEX(Routes!$Y$6:$Y$9,$C209)*F209),IF((INDEX(Routes!$M$6:$M$9,$C209)*INDEX(Routes!$Y$6:$Y$9,$C209)*F209)&lt;=3,2+0.9*((INDEX(Routes!$M$6:$M$9,$C209)*INDEX(Routes!$Y$6:$Y$9,$C209)*F209)-2),IF((INDEX(Routes!$M$6:$M$9,$C209)*INDEX(Routes!$Y$6:$Y$9,$C209)*F209)&lt;=4,2.9+0.75*((INDEX(Routes!$M$6:$M$9,$C209)*INDEX(Routes!$Y$6:$Y$9,$C209)*F209)-3),IF((INDEX(Routes!$M$6:$M$9,$C209)*INDEX(Routes!$Y$6:$Y$9,$C209)*F209)&lt;=5,3.65+0.6*((INDEX(Routes!$M$6:$M$9,$C209)*INDEX(Routes!$Y$6:$Y$9,$C209)*F209)-4),4.25+0.5*((INDEX(Routes!$M$6:$M$9,$C209)*INDEX(Routes!$Y$6:$Y$9,$C209)*F209)-5)))))</f>
        <v>0</v>
      </c>
    </row>
    <row r="210" customFormat="false" ht="15" hidden="false" customHeight="false" outlineLevel="0" collapsed="false">
      <c r="A210" s="2" t="s">
        <v>706</v>
      </c>
      <c r="B210" s="2" t="s">
        <v>674</v>
      </c>
      <c r="C210" s="16" t="n">
        <f aca="false">Sw_Route</f>
        <v>1</v>
      </c>
      <c r="D210" s="70" t="n">
        <v>104</v>
      </c>
      <c r="E210" s="88" t="n">
        <f aca="false">FreightMult</f>
        <v>1</v>
      </c>
      <c r="F210" s="88" t="n">
        <f aca="false">PortMult</f>
        <v>1</v>
      </c>
      <c r="G210" s="89" t="n">
        <f aca="false">UtilFH</f>
        <v>0.85</v>
      </c>
      <c r="H210" s="89" t="n">
        <f aca="false">UtilBH</f>
        <v>0.5</v>
      </c>
      <c r="I210" s="95" t="n">
        <v>15</v>
      </c>
      <c r="J210" s="88" t="n">
        <f aca="false">PortCostMult</f>
        <v>1</v>
      </c>
      <c r="K210" s="90" t="n">
        <f aca="false">EUA</f>
        <v>75</v>
      </c>
      <c r="L210" s="71" t="n">
        <f aca="false">INDEX(Routes!$E$6:$E$9,$C210)</f>
        <v>5000</v>
      </c>
      <c r="M210" s="72" t="n">
        <f aca="false">INDEX(Routes!$F$6:$F$9,$C210)/L210</f>
        <v>0.13</v>
      </c>
      <c r="N210" s="77" t="n">
        <f aca="false">2*L210*(1+SeaMargin)/(I210*24)</f>
        <v>29.1666666666667</v>
      </c>
      <c r="O210" s="84" t="n">
        <f aca="false">(I210/RefSpeed)^SpeedExp</f>
        <v>1.37174211248285</v>
      </c>
      <c r="P210" s="2" t="n">
        <f aca="false">IF(H210&gt;0,1,0)</f>
        <v>1</v>
      </c>
      <c r="Q210" s="71" t="n">
        <f aca="false">N210/2*O210*(ConsLaden+IF(P210=1,ConsLaden,ConsBallast))</f>
        <v>1080.24691358025</v>
      </c>
      <c r="R210" s="71" t="n">
        <f aca="false">Q210*(1-M210)</f>
        <v>939.814814814815</v>
      </c>
      <c r="S210" s="71" t="n">
        <f aca="false">Q210*M210</f>
        <v>140.432098765432</v>
      </c>
      <c r="T210" s="2" t="n">
        <f aca="false">1+P210</f>
        <v>2</v>
      </c>
      <c r="U210" s="77" t="n">
        <f aca="false">INDEX(Routes!$L$6:$L$9,$C210)*T210*F210</f>
        <v>10</v>
      </c>
      <c r="V210" s="77" t="n">
        <f aca="false">INDEX(Routes!$M$6:$M$9,$C210)*T210*F210</f>
        <v>7</v>
      </c>
      <c r="W210" s="77" t="n">
        <f aca="false">INDEX(Routes!$H$6:$H$9,$C210)*2</f>
        <v>0</v>
      </c>
      <c r="X210" s="71" t="n">
        <f aca="false">(U210+V210+W210)*ConsPort</f>
        <v>102</v>
      </c>
      <c r="Y210" s="67" t="n">
        <f aca="false">R210*D210*VLSFO_Mult+(S210+X210)*D210*MGO_Mult</f>
        <v>997169.204938272</v>
      </c>
      <c r="Z210" s="67" t="n">
        <f aca="false">(INDEX(Routes!$N$6:$N$9,$C210)+AN210+MIN(AC210*INDEX(Routes!$T$6:$T$9,$C210),INDEX(Routes!$V$6:$V$9,$C210))+INDEX(Routes!$O$6:$O$9,$C210)+AO210+MIN(AC210*INDEX(Routes!$U$6:$U$9,$C210),INDEX(Routes!$W$6:$W$9,$C210))+IF(P210=1,INDEX(Routes!$N$6:$N$9,$C210)+AN210+MIN(AD210*INDEX(Routes!$T$6:$T$9,$C210),INDEX(Routes!$V$6:$V$9,$C210))+INDEX(Routes!$O$6:$O$9,$C210)+AO210+MIN(AD210*INDEX(Routes!$U$6:$U$9,$C210),INDEX(Routes!$W$6:$W$9,$C210)),0))*J210</f>
        <v>252304.2096</v>
      </c>
      <c r="AA210" s="67" t="n">
        <f aca="false">INDEX(Routes!$R$6:$R$9,$C210)+IF(P210=1,INDEX(Routes!$R$6:$R$9,$C210),INDEX(Routes!$S$6:$S$9,$C210))</f>
        <v>0</v>
      </c>
      <c r="AB210" s="67" t="n">
        <f aca="false">((R210*CO2_VLSFO+S210*CO2_MGO)*INDEX(Routes!$I$6:$I$9,$C210)+(U210*INDEX(Routes!$P$6:$P$9,$C210)+V210*INDEX(Routes!$Q$6:$Q$9,$C210))*ConsPort*CO2_MGO)*PhaseIn*K210*FX</f>
        <v>150402.146481482</v>
      </c>
      <c r="AC210" s="71" t="n">
        <f aca="false">Capacity*G210</f>
        <v>30600</v>
      </c>
      <c r="AD210" s="71" t="n">
        <f aca="false">Capacity*H210</f>
        <v>18000</v>
      </c>
      <c r="AE210" s="82" t="n">
        <f aca="false">INDEX(Routes!$J$6:$J$9,$C210)*E210</f>
        <v>52</v>
      </c>
      <c r="AF210" s="82" t="n">
        <f aca="false">INDEX(Routes!$K$6:$K$9,$C210)*E210</f>
        <v>38</v>
      </c>
      <c r="AG210" s="67" t="n">
        <f aca="false">AC210*AE210+AD210*AF210</f>
        <v>2275200</v>
      </c>
      <c r="AH210" s="67" t="n">
        <f aca="false">AG210*Commission</f>
        <v>56880</v>
      </c>
      <c r="AI210" s="67" t="n">
        <f aca="false">Y210+Z210+AA210+AB210+MiscVoy</f>
        <v>1424875.56101975</v>
      </c>
      <c r="AJ210" s="77" t="n">
        <f aca="false">N210+U210+V210+W210</f>
        <v>46.1666666666667</v>
      </c>
      <c r="AK210" s="94" t="n">
        <f aca="false">(AG210-AH210-AI210)/AJ210</f>
        <v>17186.5221439765</v>
      </c>
      <c r="AL210" s="67" t="n">
        <f aca="false">AG210-AH210-AI210-Benchmark*AJ210</f>
        <v>-37555.5610197535</v>
      </c>
      <c r="AM210" s="82" t="n">
        <f aca="false">IF(AC210&gt;0,((Benchmark*AJ210+AI210)/(1-Commission)-AD210*AF210)/AC210,0)</f>
        <v>53.2587752981315</v>
      </c>
      <c r="AN210" s="67" t="n">
        <f aca="false">LOA_ft*Port_Tariffs!$C$9*IF((INDEX(Routes!$L$6:$L$9,$C210)*INDEX(Routes!$X$6:$X$9,$C210)*F210)&lt;=2,(INDEX(Routes!$L$6:$L$9,$C210)*INDEX(Routes!$X$6:$X$9,$C210)*F210),IF((INDEX(Routes!$L$6:$L$9,$C210)*INDEX(Routes!$X$6:$X$9,$C210)*F210)&lt;=3,2+0.9*((INDEX(Routes!$L$6:$L$9,$C210)*INDEX(Routes!$X$6:$X$9,$C210)*F210)-2),IF((INDEX(Routes!$L$6:$L$9,$C210)*INDEX(Routes!$X$6:$X$9,$C210)*F210)&lt;=4,2.9+0.75*((INDEX(Routes!$L$6:$L$9,$C210)*INDEX(Routes!$X$6:$X$9,$C210)*F210)-3),IF((INDEX(Routes!$L$6:$L$9,$C210)*INDEX(Routes!$X$6:$X$9,$C210)*F210)&lt;=5,3.65+0.6*((INDEX(Routes!$L$6:$L$9,$C210)*INDEX(Routes!$X$6:$X$9,$C210)*F210)-4),4.25+0.5*((INDEX(Routes!$L$6:$L$9,$C210)*INDEX(Routes!$X$6:$X$9,$C210)*F210)-5)))))</f>
        <v>19557.6</v>
      </c>
      <c r="AO210" s="67" t="n">
        <f aca="false">LOA_ft*Port_Tariffs!$C$9*IF((INDEX(Routes!$M$6:$M$9,$C210)*INDEX(Routes!$Y$6:$Y$9,$C210)*F210)&lt;=2,(INDEX(Routes!$M$6:$M$9,$C210)*INDEX(Routes!$Y$6:$Y$9,$C210)*F210),IF((INDEX(Routes!$M$6:$M$9,$C210)*INDEX(Routes!$Y$6:$Y$9,$C210)*F210)&lt;=3,2+0.9*((INDEX(Routes!$M$6:$M$9,$C210)*INDEX(Routes!$Y$6:$Y$9,$C210)*F210)-2),IF((INDEX(Routes!$M$6:$M$9,$C210)*INDEX(Routes!$Y$6:$Y$9,$C210)*F210)&lt;=4,2.9+0.75*((INDEX(Routes!$M$6:$M$9,$C210)*INDEX(Routes!$Y$6:$Y$9,$C210)*F210)-3),IF((INDEX(Routes!$M$6:$M$9,$C210)*INDEX(Routes!$Y$6:$Y$9,$C210)*F210)&lt;=5,3.65+0.6*((INDEX(Routes!$M$6:$M$9,$C210)*INDEX(Routes!$Y$6:$Y$9,$C210)*F210)-4),4.25+0.5*((INDEX(Routes!$M$6:$M$9,$C210)*INDEX(Routes!$Y$6:$Y$9,$C210)*F210)-5))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F1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26"/>
  </cols>
  <sheetData>
    <row r="1" customFormat="false" ht="19.7" hidden="false" customHeight="false" outlineLevel="0" collapsed="false">
      <c r="A1" s="1" t="s">
        <v>707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0" t="s">
        <v>708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15" hidden="false" customHeight="false" outlineLevel="0" collapsed="false">
      <c r="A5" s="21" t="s">
        <v>709</v>
      </c>
      <c r="B5" s="21" t="s">
        <v>432</v>
      </c>
      <c r="C5" s="2"/>
      <c r="D5" s="21" t="s">
        <v>710</v>
      </c>
      <c r="E5" s="21" t="s">
        <v>68</v>
      </c>
      <c r="F5" s="21" t="s">
        <v>711</v>
      </c>
    </row>
    <row r="6" customFormat="false" ht="15" hidden="false" customHeight="false" outlineLevel="0" collapsed="false">
      <c r="A6" s="96" t="n">
        <v>42005</v>
      </c>
      <c r="B6" s="80" t="n">
        <v>47.76</v>
      </c>
      <c r="C6" s="2"/>
      <c r="D6" s="2" t="s">
        <v>712</v>
      </c>
      <c r="E6" s="71" t="n">
        <f aca="false">COUNT($B$6:$B$505)</f>
        <v>140</v>
      </c>
      <c r="F6" s="2"/>
    </row>
    <row r="7" customFormat="false" ht="15" hidden="false" customHeight="false" outlineLevel="0" collapsed="false">
      <c r="A7" s="96" t="n">
        <v>42036</v>
      </c>
      <c r="B7" s="80" t="n">
        <v>58.1</v>
      </c>
      <c r="C7" s="2"/>
      <c r="D7" s="2" t="s">
        <v>713</v>
      </c>
      <c r="E7" s="80" t="n">
        <f aca="false">INDEX($B$6:$B$505,E6)</f>
        <v>91.08</v>
      </c>
      <c r="F7" s="2" t="s">
        <v>714</v>
      </c>
    </row>
    <row r="8" customFormat="false" ht="15" hidden="false" customHeight="false" outlineLevel="0" collapsed="false">
      <c r="A8" s="96" t="n">
        <v>42064</v>
      </c>
      <c r="B8" s="80" t="n">
        <v>55.89</v>
      </c>
      <c r="C8" s="2"/>
      <c r="D8" s="2" t="s">
        <v>715</v>
      </c>
      <c r="E8" s="80" t="n">
        <f aca="false">ROUND(AVERAGE(INDEX($B$6:$B$505,E6-11):INDEX($B$6:$B$505,E6)),2)</f>
        <v>82.01</v>
      </c>
      <c r="F8" s="2" t="s">
        <v>716</v>
      </c>
    </row>
    <row r="9" customFormat="false" ht="15" hidden="false" customHeight="false" outlineLevel="0" collapsed="false">
      <c r="A9" s="96" t="n">
        <v>42095</v>
      </c>
      <c r="B9" s="80" t="n">
        <v>59.52</v>
      </c>
      <c r="C9" s="2"/>
      <c r="D9" s="2" t="s">
        <v>717</v>
      </c>
      <c r="E9" s="80" t="n">
        <f aca="false">ROUND(AVERAGE(INDEX($B$6:$B$505,E6-59):INDEX($B$6:$B$505,E6)),2)</f>
        <v>83.88</v>
      </c>
      <c r="F9" s="2" t="s">
        <v>718</v>
      </c>
    </row>
    <row r="10" customFormat="false" ht="15" hidden="false" customHeight="false" outlineLevel="0" collapsed="false">
      <c r="A10" s="96" t="n">
        <v>42125</v>
      </c>
      <c r="B10" s="80" t="n">
        <v>64.08</v>
      </c>
      <c r="C10" s="2"/>
      <c r="D10" s="2" t="s">
        <v>719</v>
      </c>
      <c r="E10" s="80" t="n">
        <f aca="false">ROUND(PERCENTILE(INDEX($B$6:$B$505,E6-59):INDEX($B$6:$B$505,E6),0.1),2)</f>
        <v>67.98</v>
      </c>
      <c r="F10" s="2" t="s">
        <v>720</v>
      </c>
    </row>
    <row r="11" customFormat="false" ht="15" hidden="false" customHeight="false" outlineLevel="0" collapsed="false">
      <c r="A11" s="96" t="n">
        <v>42156</v>
      </c>
      <c r="B11" s="80" t="n">
        <v>61.48</v>
      </c>
      <c r="C11" s="2"/>
      <c r="D11" s="2" t="s">
        <v>721</v>
      </c>
      <c r="E11" s="80" t="n">
        <f aca="false">ROUND(PERCENTILE(INDEX($B$6:$B$505,E6-59):INDEX($B$6:$B$505,E6),0.9),2)</f>
        <v>104.84</v>
      </c>
      <c r="F11" s="2" t="s">
        <v>722</v>
      </c>
    </row>
    <row r="12" customFormat="false" ht="15" hidden="false" customHeight="false" outlineLevel="0" collapsed="false">
      <c r="A12" s="96" t="n">
        <v>42186</v>
      </c>
      <c r="B12" s="80" t="n">
        <v>56.56</v>
      </c>
      <c r="C12" s="2"/>
      <c r="D12" s="2" t="s">
        <v>723</v>
      </c>
      <c r="E12" s="80" t="n">
        <f aca="false">MIN(INDEX($B$6:$B$505,E6-59):INDEX($B$6:$B$505,E6))</f>
        <v>62.54</v>
      </c>
      <c r="F12" s="2"/>
    </row>
    <row r="13" customFormat="false" ht="15" hidden="false" customHeight="false" outlineLevel="0" collapsed="false">
      <c r="A13" s="96" t="n">
        <v>42217</v>
      </c>
      <c r="B13" s="80" t="n">
        <v>46.52</v>
      </c>
      <c r="C13" s="2"/>
      <c r="D13" s="2" t="s">
        <v>724</v>
      </c>
      <c r="E13" s="80" t="n">
        <f aca="false">MAX(INDEX($B$6:$B$505,E6-59):INDEX($B$6:$B$505,E6))</f>
        <v>122.71</v>
      </c>
      <c r="F13" s="2"/>
    </row>
    <row r="14" customFormat="false" ht="15" hidden="false" customHeight="false" outlineLevel="0" collapsed="false">
      <c r="A14" s="96" t="n">
        <v>42248</v>
      </c>
      <c r="B14" s="80" t="n">
        <v>47.62</v>
      </c>
      <c r="C14" s="2"/>
      <c r="D14" s="2"/>
      <c r="E14" s="2"/>
      <c r="F14" s="2"/>
    </row>
    <row r="15" customFormat="false" ht="15" hidden="false" customHeight="false" outlineLevel="0" collapsed="false">
      <c r="A15" s="96" t="n">
        <v>42278</v>
      </c>
      <c r="B15" s="80" t="n">
        <v>48.43</v>
      </c>
      <c r="C15" s="2"/>
      <c r="D15" s="2"/>
      <c r="E15" s="2"/>
      <c r="F15" s="2"/>
    </row>
    <row r="16" customFormat="false" ht="15" hidden="false" customHeight="false" outlineLevel="0" collapsed="false">
      <c r="A16" s="96" t="n">
        <v>42309</v>
      </c>
      <c r="B16" s="80" t="n">
        <v>44.27</v>
      </c>
      <c r="C16" s="2"/>
      <c r="D16" s="97" t="s">
        <v>725</v>
      </c>
      <c r="E16" s="2"/>
      <c r="F16" s="2"/>
    </row>
    <row r="17" customFormat="false" ht="15" hidden="false" customHeight="false" outlineLevel="0" collapsed="false">
      <c r="A17" s="96" t="n">
        <v>42339</v>
      </c>
      <c r="B17" s="80" t="n">
        <v>38.01</v>
      </c>
      <c r="C17" s="2"/>
      <c r="D17" s="2"/>
      <c r="E17" s="2"/>
      <c r="F17" s="2"/>
    </row>
    <row r="18" customFormat="false" ht="15" hidden="false" customHeight="false" outlineLevel="0" collapsed="false">
      <c r="A18" s="96" t="n">
        <v>42370</v>
      </c>
      <c r="B18" s="80" t="n">
        <v>30.7</v>
      </c>
      <c r="C18" s="2"/>
      <c r="D18" s="2"/>
      <c r="E18" s="2"/>
      <c r="F18" s="2"/>
    </row>
    <row r="19" customFormat="false" ht="15" hidden="false" customHeight="false" outlineLevel="0" collapsed="false">
      <c r="A19" s="96" t="n">
        <v>42401</v>
      </c>
      <c r="B19" s="80" t="n">
        <v>32.18</v>
      </c>
      <c r="C19" s="2"/>
      <c r="D19" s="2"/>
      <c r="E19" s="2"/>
      <c r="F19" s="2"/>
    </row>
    <row r="20" customFormat="false" ht="15" hidden="false" customHeight="false" outlineLevel="0" collapsed="false">
      <c r="A20" s="96" t="n">
        <v>42430</v>
      </c>
      <c r="B20" s="80" t="n">
        <v>38.21</v>
      </c>
      <c r="C20" s="2"/>
      <c r="D20" s="2"/>
      <c r="E20" s="2"/>
      <c r="F20" s="2"/>
    </row>
    <row r="21" customFormat="false" ht="15" hidden="false" customHeight="false" outlineLevel="0" collapsed="false">
      <c r="A21" s="96" t="n">
        <v>42461</v>
      </c>
      <c r="B21" s="80" t="n">
        <v>41.58</v>
      </c>
      <c r="C21" s="2"/>
      <c r="D21" s="2"/>
      <c r="E21" s="2"/>
      <c r="F21" s="2"/>
    </row>
    <row r="22" customFormat="false" ht="15" hidden="false" customHeight="false" outlineLevel="0" collapsed="false">
      <c r="A22" s="96" t="n">
        <v>42491</v>
      </c>
      <c r="B22" s="80" t="n">
        <v>46.74</v>
      </c>
      <c r="C22" s="2"/>
      <c r="D22" s="2"/>
      <c r="E22" s="2"/>
      <c r="F22" s="2"/>
    </row>
    <row r="23" customFormat="false" ht="15" hidden="false" customHeight="false" outlineLevel="0" collapsed="false">
      <c r="A23" s="96" t="n">
        <v>42522</v>
      </c>
      <c r="B23" s="80" t="n">
        <v>48.25</v>
      </c>
      <c r="C23" s="2"/>
      <c r="D23" s="2"/>
      <c r="E23" s="2"/>
      <c r="F23" s="2"/>
    </row>
    <row r="24" customFormat="false" ht="15" hidden="false" customHeight="false" outlineLevel="0" collapsed="false">
      <c r="A24" s="96" t="n">
        <v>42552</v>
      </c>
      <c r="B24" s="80" t="n">
        <v>44.95</v>
      </c>
      <c r="C24" s="2"/>
      <c r="D24" s="2"/>
      <c r="E24" s="2"/>
      <c r="F24" s="2"/>
    </row>
    <row r="25" customFormat="false" ht="15" hidden="false" customHeight="false" outlineLevel="0" collapsed="false">
      <c r="A25" s="96" t="n">
        <v>42583</v>
      </c>
      <c r="B25" s="80" t="n">
        <v>45.84</v>
      </c>
      <c r="C25" s="2"/>
      <c r="D25" s="2"/>
      <c r="E25" s="2"/>
      <c r="F25" s="2"/>
    </row>
    <row r="26" customFormat="false" ht="15" hidden="false" customHeight="false" outlineLevel="0" collapsed="false">
      <c r="A26" s="96" t="n">
        <v>42614</v>
      </c>
      <c r="B26" s="80" t="n">
        <v>46.57</v>
      </c>
      <c r="C26" s="2"/>
      <c r="D26" s="2"/>
      <c r="E26" s="2"/>
      <c r="F26" s="2"/>
    </row>
    <row r="27" customFormat="false" ht="15" hidden="false" customHeight="false" outlineLevel="0" collapsed="false">
      <c r="A27" s="96" t="n">
        <v>42644</v>
      </c>
      <c r="B27" s="80" t="n">
        <v>49.52</v>
      </c>
      <c r="C27" s="2"/>
      <c r="D27" s="2"/>
      <c r="E27" s="2"/>
      <c r="F27" s="2"/>
    </row>
    <row r="28" customFormat="false" ht="15" hidden="false" customHeight="false" outlineLevel="0" collapsed="false">
      <c r="A28" s="96" t="n">
        <v>42675</v>
      </c>
      <c r="B28" s="80" t="n">
        <v>44.73</v>
      </c>
      <c r="C28" s="2"/>
      <c r="D28" s="2"/>
      <c r="E28" s="2"/>
      <c r="F28" s="2"/>
    </row>
    <row r="29" customFormat="false" ht="15" hidden="false" customHeight="false" outlineLevel="0" collapsed="false">
      <c r="A29" s="96" t="n">
        <v>42705</v>
      </c>
      <c r="B29" s="80" t="n">
        <v>53.31</v>
      </c>
      <c r="C29" s="2"/>
      <c r="D29" s="2"/>
      <c r="E29" s="2"/>
      <c r="F29" s="2"/>
    </row>
    <row r="30" customFormat="false" ht="15" hidden="false" customHeight="false" outlineLevel="0" collapsed="false">
      <c r="A30" s="96" t="n">
        <v>42736</v>
      </c>
      <c r="B30" s="80" t="n">
        <v>54.58</v>
      </c>
      <c r="C30" s="2"/>
      <c r="D30" s="2"/>
      <c r="E30" s="2"/>
      <c r="F30" s="2"/>
    </row>
    <row r="31" customFormat="false" ht="15" hidden="false" customHeight="false" outlineLevel="0" collapsed="false">
      <c r="A31" s="96" t="n">
        <v>42767</v>
      </c>
      <c r="B31" s="80" t="n">
        <v>54.87</v>
      </c>
      <c r="C31" s="2"/>
      <c r="D31" s="2"/>
      <c r="E31" s="2"/>
      <c r="F31" s="2"/>
    </row>
    <row r="32" customFormat="false" ht="15" hidden="false" customHeight="false" outlineLevel="0" collapsed="false">
      <c r="A32" s="96" t="n">
        <v>42795</v>
      </c>
      <c r="B32" s="80" t="n">
        <v>51.59</v>
      </c>
      <c r="C32" s="2"/>
      <c r="D32" s="2"/>
      <c r="E32" s="2"/>
      <c r="F32" s="2"/>
    </row>
    <row r="33" customFormat="false" ht="15" hidden="false" customHeight="false" outlineLevel="0" collapsed="false">
      <c r="A33" s="96" t="n">
        <v>42826</v>
      </c>
      <c r="B33" s="80" t="n">
        <v>52.31</v>
      </c>
      <c r="C33" s="2"/>
      <c r="D33" s="2"/>
      <c r="E33" s="2"/>
      <c r="F33" s="2"/>
    </row>
    <row r="34" customFormat="false" ht="15" hidden="false" customHeight="false" outlineLevel="0" collapsed="false">
      <c r="A34" s="96" t="n">
        <v>42856</v>
      </c>
      <c r="B34" s="80" t="n">
        <v>50.33</v>
      </c>
      <c r="C34" s="2"/>
      <c r="D34" s="2"/>
      <c r="E34" s="2"/>
      <c r="F34" s="2"/>
    </row>
    <row r="35" customFormat="false" ht="15" hidden="false" customHeight="false" outlineLevel="0" collapsed="false">
      <c r="A35" s="96" t="n">
        <v>42887</v>
      </c>
      <c r="B35" s="80" t="n">
        <v>46.37</v>
      </c>
      <c r="C35" s="2"/>
      <c r="D35" s="2"/>
      <c r="E35" s="2"/>
      <c r="F35" s="2"/>
    </row>
    <row r="36" customFormat="false" ht="15" hidden="false" customHeight="false" outlineLevel="0" collapsed="false">
      <c r="A36" s="96" t="n">
        <v>42917</v>
      </c>
      <c r="B36" s="80" t="n">
        <v>48.48</v>
      </c>
      <c r="C36" s="2"/>
      <c r="D36" s="2"/>
      <c r="E36" s="2"/>
      <c r="F36" s="2"/>
    </row>
    <row r="37" customFormat="false" ht="15" hidden="false" customHeight="false" outlineLevel="0" collapsed="false">
      <c r="A37" s="96" t="n">
        <v>42948</v>
      </c>
      <c r="B37" s="80" t="n">
        <v>51.7</v>
      </c>
      <c r="C37" s="2"/>
      <c r="D37" s="2"/>
      <c r="E37" s="2"/>
      <c r="F37" s="2"/>
    </row>
    <row r="38" customFormat="false" ht="15" hidden="false" customHeight="false" outlineLevel="0" collapsed="false">
      <c r="A38" s="96" t="n">
        <v>42979</v>
      </c>
      <c r="B38" s="80" t="n">
        <v>56.15</v>
      </c>
      <c r="C38" s="2"/>
      <c r="D38" s="2"/>
      <c r="E38" s="2"/>
      <c r="F38" s="2"/>
    </row>
    <row r="39" customFormat="false" ht="15" hidden="false" customHeight="false" outlineLevel="0" collapsed="false">
      <c r="A39" s="96" t="n">
        <v>43009</v>
      </c>
      <c r="B39" s="80" t="n">
        <v>57.51</v>
      </c>
      <c r="C39" s="2"/>
      <c r="D39" s="2"/>
      <c r="E39" s="2"/>
      <c r="F39" s="2"/>
    </row>
    <row r="40" customFormat="false" ht="15" hidden="false" customHeight="false" outlineLevel="0" collapsed="false">
      <c r="A40" s="96" t="n">
        <v>43040</v>
      </c>
      <c r="B40" s="80" t="n">
        <v>62.71</v>
      </c>
      <c r="C40" s="2"/>
      <c r="D40" s="2"/>
      <c r="E40" s="2"/>
      <c r="F40" s="2"/>
    </row>
    <row r="41" customFormat="false" ht="15" hidden="false" customHeight="false" outlineLevel="0" collapsed="false">
      <c r="A41" s="96" t="n">
        <v>43070</v>
      </c>
      <c r="B41" s="80" t="n">
        <v>64.37</v>
      </c>
      <c r="C41" s="2"/>
      <c r="D41" s="2"/>
      <c r="E41" s="2"/>
      <c r="F41" s="2"/>
    </row>
    <row r="42" customFormat="false" ht="15" hidden="false" customHeight="false" outlineLevel="0" collapsed="false">
      <c r="A42" s="96" t="n">
        <v>43101</v>
      </c>
      <c r="B42" s="80" t="n">
        <v>69.08</v>
      </c>
      <c r="C42" s="2"/>
      <c r="D42" s="2"/>
      <c r="E42" s="2"/>
      <c r="F42" s="2"/>
    </row>
    <row r="43" customFormat="false" ht="15" hidden="false" customHeight="false" outlineLevel="0" collapsed="false">
      <c r="A43" s="96" t="n">
        <v>43132</v>
      </c>
      <c r="B43" s="80" t="n">
        <v>65.32</v>
      </c>
      <c r="C43" s="2"/>
      <c r="D43" s="2"/>
      <c r="E43" s="2"/>
      <c r="F43" s="2"/>
    </row>
    <row r="44" customFormat="false" ht="15" hidden="false" customHeight="false" outlineLevel="0" collapsed="false">
      <c r="A44" s="96" t="n">
        <v>43160</v>
      </c>
      <c r="B44" s="80" t="n">
        <v>66.02</v>
      </c>
      <c r="C44" s="2"/>
      <c r="D44" s="2"/>
      <c r="E44" s="2"/>
      <c r="F44" s="2"/>
    </row>
    <row r="45" customFormat="false" ht="15" hidden="false" customHeight="false" outlineLevel="0" collapsed="false">
      <c r="A45" s="96" t="n">
        <v>43191</v>
      </c>
      <c r="B45" s="80" t="n">
        <v>72.11</v>
      </c>
      <c r="C45" s="2"/>
      <c r="D45" s="2"/>
      <c r="E45" s="2"/>
      <c r="F45" s="2"/>
    </row>
    <row r="46" customFormat="false" ht="15" hidden="false" customHeight="false" outlineLevel="0" collapsed="false">
      <c r="A46" s="96" t="n">
        <v>43221</v>
      </c>
      <c r="B46" s="80" t="n">
        <v>76.98</v>
      </c>
      <c r="C46" s="2"/>
      <c r="D46" s="2"/>
      <c r="E46" s="2"/>
      <c r="F46" s="2"/>
    </row>
    <row r="47" customFormat="false" ht="15" hidden="false" customHeight="false" outlineLevel="0" collapsed="false">
      <c r="A47" s="96" t="n">
        <v>43252</v>
      </c>
      <c r="B47" s="80" t="n">
        <v>74.41</v>
      </c>
      <c r="C47" s="2"/>
      <c r="D47" s="2"/>
      <c r="E47" s="2"/>
      <c r="F47" s="2"/>
    </row>
    <row r="48" customFormat="false" ht="15" hidden="false" customHeight="false" outlineLevel="0" collapsed="false">
      <c r="A48" s="96" t="n">
        <v>43282</v>
      </c>
      <c r="B48" s="80" t="n">
        <v>74.25</v>
      </c>
      <c r="C48" s="2"/>
      <c r="D48" s="2"/>
      <c r="E48" s="2"/>
      <c r="F48" s="2"/>
    </row>
    <row r="49" customFormat="false" ht="15" hidden="false" customHeight="false" outlineLevel="0" collapsed="false">
      <c r="A49" s="96" t="n">
        <v>43313</v>
      </c>
      <c r="B49" s="80" t="n">
        <v>72.53</v>
      </c>
      <c r="C49" s="2"/>
      <c r="D49" s="2"/>
      <c r="E49" s="2"/>
      <c r="F49" s="2"/>
    </row>
    <row r="50" customFormat="false" ht="15" hidden="false" customHeight="false" outlineLevel="0" collapsed="false">
      <c r="A50" s="96" t="n">
        <v>43344</v>
      </c>
      <c r="B50" s="80" t="n">
        <v>78.89</v>
      </c>
      <c r="C50" s="2"/>
      <c r="D50" s="2"/>
      <c r="E50" s="2"/>
      <c r="F50" s="2"/>
    </row>
    <row r="51" customFormat="false" ht="15" hidden="false" customHeight="false" outlineLevel="0" collapsed="false">
      <c r="A51" s="96" t="n">
        <v>43374</v>
      </c>
      <c r="B51" s="80" t="n">
        <v>81.03</v>
      </c>
      <c r="C51" s="2"/>
      <c r="D51" s="2"/>
      <c r="E51" s="2"/>
      <c r="F51" s="2"/>
    </row>
    <row r="52" customFormat="false" ht="15" hidden="false" customHeight="false" outlineLevel="0" collapsed="false">
      <c r="A52" s="96" t="n">
        <v>43405</v>
      </c>
      <c r="B52" s="80" t="n">
        <v>64.75</v>
      </c>
      <c r="C52" s="2"/>
      <c r="D52" s="2"/>
      <c r="E52" s="2"/>
      <c r="F52" s="2"/>
    </row>
    <row r="53" customFormat="false" ht="15" hidden="false" customHeight="false" outlineLevel="0" collapsed="false">
      <c r="A53" s="96" t="n">
        <v>43435</v>
      </c>
      <c r="B53" s="80" t="n">
        <v>57.36</v>
      </c>
      <c r="C53" s="2"/>
      <c r="D53" s="2"/>
      <c r="E53" s="2"/>
      <c r="F53" s="2"/>
    </row>
    <row r="54" customFormat="false" ht="15" hidden="false" customHeight="false" outlineLevel="0" collapsed="false">
      <c r="A54" s="96" t="n">
        <v>43466</v>
      </c>
      <c r="B54" s="80" t="n">
        <v>59.41</v>
      </c>
      <c r="C54" s="2"/>
      <c r="D54" s="2"/>
      <c r="E54" s="2"/>
      <c r="F54" s="2"/>
    </row>
    <row r="55" customFormat="false" ht="15" hidden="false" customHeight="false" outlineLevel="0" collapsed="false">
      <c r="A55" s="96" t="n">
        <v>43497</v>
      </c>
      <c r="B55" s="80" t="n">
        <v>63.96</v>
      </c>
      <c r="C55" s="2"/>
      <c r="D55" s="2"/>
      <c r="E55" s="2"/>
      <c r="F55" s="2"/>
    </row>
    <row r="56" customFormat="false" ht="15" hidden="false" customHeight="false" outlineLevel="0" collapsed="false">
      <c r="A56" s="96" t="n">
        <v>43525</v>
      </c>
      <c r="B56" s="80" t="n">
        <v>66.14</v>
      </c>
      <c r="C56" s="2"/>
      <c r="D56" s="2"/>
      <c r="E56" s="2"/>
      <c r="F56" s="2"/>
    </row>
    <row r="57" customFormat="false" ht="15" hidden="false" customHeight="false" outlineLevel="0" collapsed="false">
      <c r="A57" s="96" t="n">
        <v>43556</v>
      </c>
      <c r="B57" s="80" t="n">
        <v>71.23</v>
      </c>
      <c r="C57" s="2"/>
      <c r="D57" s="2"/>
      <c r="E57" s="2"/>
      <c r="F57" s="2"/>
    </row>
    <row r="58" customFormat="false" ht="15" hidden="false" customHeight="false" outlineLevel="0" collapsed="false">
      <c r="A58" s="96" t="n">
        <v>43586</v>
      </c>
      <c r="B58" s="80" t="n">
        <v>71.32</v>
      </c>
      <c r="C58" s="2"/>
      <c r="D58" s="2"/>
      <c r="E58" s="2"/>
      <c r="F58" s="2"/>
    </row>
    <row r="59" customFormat="false" ht="15" hidden="false" customHeight="false" outlineLevel="0" collapsed="false">
      <c r="A59" s="96" t="n">
        <v>43617</v>
      </c>
      <c r="B59" s="80" t="n">
        <v>64.22</v>
      </c>
      <c r="C59" s="2"/>
      <c r="D59" s="2"/>
      <c r="E59" s="2"/>
      <c r="F59" s="2"/>
    </row>
    <row r="60" customFormat="false" ht="15" hidden="false" customHeight="false" outlineLevel="0" collapsed="false">
      <c r="A60" s="96" t="n">
        <v>43647</v>
      </c>
      <c r="B60" s="80" t="n">
        <v>63.92</v>
      </c>
      <c r="C60" s="2"/>
      <c r="D60" s="2"/>
      <c r="E60" s="2"/>
      <c r="F60" s="2"/>
    </row>
    <row r="61" customFormat="false" ht="15" hidden="false" customHeight="false" outlineLevel="0" collapsed="false">
      <c r="A61" s="96" t="n">
        <v>43678</v>
      </c>
      <c r="B61" s="80" t="n">
        <v>59.04</v>
      </c>
      <c r="C61" s="2"/>
      <c r="D61" s="2"/>
      <c r="E61" s="2"/>
      <c r="F61" s="2"/>
    </row>
    <row r="62" customFormat="false" ht="15" hidden="false" customHeight="false" outlineLevel="0" collapsed="false">
      <c r="A62" s="96" t="n">
        <v>43709</v>
      </c>
      <c r="B62" s="80" t="n">
        <v>62.83</v>
      </c>
      <c r="C62" s="2"/>
      <c r="D62" s="2"/>
      <c r="E62" s="2"/>
      <c r="F62" s="2"/>
    </row>
    <row r="63" customFormat="false" ht="15" hidden="false" customHeight="false" outlineLevel="0" collapsed="false">
      <c r="A63" s="96" t="n">
        <v>43739</v>
      </c>
      <c r="B63" s="80" t="n">
        <v>59.71</v>
      </c>
      <c r="C63" s="2"/>
      <c r="D63" s="2"/>
      <c r="E63" s="2"/>
      <c r="F63" s="2"/>
    </row>
    <row r="64" customFormat="false" ht="15" hidden="false" customHeight="false" outlineLevel="0" collapsed="false">
      <c r="A64" s="96" t="n">
        <v>43770</v>
      </c>
      <c r="B64" s="80" t="n">
        <v>63.21</v>
      </c>
      <c r="C64" s="2"/>
      <c r="D64" s="2"/>
      <c r="E64" s="2"/>
      <c r="F64" s="2"/>
    </row>
    <row r="65" customFormat="false" ht="15" hidden="false" customHeight="false" outlineLevel="0" collapsed="false">
      <c r="A65" s="96" t="n">
        <v>43800</v>
      </c>
      <c r="B65" s="80" t="n">
        <v>67.31</v>
      </c>
      <c r="C65" s="2"/>
      <c r="D65" s="2"/>
      <c r="E65" s="2"/>
      <c r="F65" s="2"/>
    </row>
    <row r="66" customFormat="false" ht="15" hidden="false" customHeight="false" outlineLevel="0" collapsed="false">
      <c r="A66" s="96" t="n">
        <v>43831</v>
      </c>
      <c r="B66" s="80" t="n">
        <v>63.65</v>
      </c>
      <c r="C66" s="2"/>
      <c r="D66" s="2"/>
      <c r="E66" s="2"/>
      <c r="F66" s="2"/>
    </row>
    <row r="67" customFormat="false" ht="15" hidden="false" customHeight="false" outlineLevel="0" collapsed="false">
      <c r="A67" s="96" t="n">
        <v>43862</v>
      </c>
      <c r="B67" s="80" t="n">
        <v>55.66</v>
      </c>
      <c r="C67" s="2"/>
      <c r="D67" s="2"/>
      <c r="E67" s="2"/>
      <c r="F67" s="2"/>
    </row>
    <row r="68" customFormat="false" ht="15" hidden="false" customHeight="false" outlineLevel="0" collapsed="false">
      <c r="A68" s="96" t="n">
        <v>43891</v>
      </c>
      <c r="B68" s="80" t="n">
        <v>32.01</v>
      </c>
      <c r="C68" s="2"/>
      <c r="D68" s="2"/>
      <c r="E68" s="2"/>
      <c r="F68" s="2"/>
    </row>
    <row r="69" customFormat="false" ht="15" hidden="false" customHeight="false" outlineLevel="0" collapsed="false">
      <c r="A69" s="96" t="n">
        <v>43922</v>
      </c>
      <c r="B69" s="80" t="n">
        <v>18.38</v>
      </c>
      <c r="C69" s="2"/>
      <c r="D69" s="2"/>
      <c r="E69" s="2"/>
      <c r="F69" s="2"/>
    </row>
    <row r="70" customFormat="false" ht="15" hidden="false" customHeight="false" outlineLevel="0" collapsed="false">
      <c r="A70" s="96" t="n">
        <v>43952</v>
      </c>
      <c r="B70" s="80" t="n">
        <v>29.38</v>
      </c>
      <c r="C70" s="2"/>
      <c r="D70" s="2"/>
      <c r="E70" s="2"/>
      <c r="F70" s="2"/>
    </row>
    <row r="71" customFormat="false" ht="15" hidden="false" customHeight="false" outlineLevel="0" collapsed="false">
      <c r="A71" s="96" t="n">
        <v>43983</v>
      </c>
      <c r="B71" s="80" t="n">
        <v>40.27</v>
      </c>
      <c r="C71" s="2"/>
      <c r="D71" s="2"/>
      <c r="E71" s="2"/>
      <c r="F71" s="2"/>
    </row>
    <row r="72" customFormat="false" ht="15" hidden="false" customHeight="false" outlineLevel="0" collapsed="false">
      <c r="A72" s="96" t="n">
        <v>44013</v>
      </c>
      <c r="B72" s="80" t="n">
        <v>43.24</v>
      </c>
      <c r="C72" s="2"/>
      <c r="D72" s="2"/>
      <c r="E72" s="2"/>
      <c r="F72" s="2"/>
    </row>
    <row r="73" customFormat="false" ht="15" hidden="false" customHeight="false" outlineLevel="0" collapsed="false">
      <c r="A73" s="96" t="n">
        <v>44044</v>
      </c>
      <c r="B73" s="80" t="n">
        <v>44.74</v>
      </c>
      <c r="C73" s="2"/>
      <c r="D73" s="2"/>
      <c r="E73" s="2"/>
      <c r="F73" s="2"/>
    </row>
    <row r="74" customFormat="false" ht="15" hidden="false" customHeight="false" outlineLevel="0" collapsed="false">
      <c r="A74" s="96" t="n">
        <v>44075</v>
      </c>
      <c r="B74" s="80" t="n">
        <v>40.91</v>
      </c>
      <c r="C74" s="2"/>
      <c r="D74" s="2"/>
      <c r="E74" s="2"/>
      <c r="F74" s="2"/>
    </row>
    <row r="75" customFormat="false" ht="15" hidden="false" customHeight="false" outlineLevel="0" collapsed="false">
      <c r="A75" s="96" t="n">
        <v>44105</v>
      </c>
      <c r="B75" s="80" t="n">
        <v>40.19</v>
      </c>
      <c r="C75" s="2"/>
      <c r="D75" s="2"/>
      <c r="E75" s="2"/>
      <c r="F75" s="2"/>
    </row>
    <row r="76" customFormat="false" ht="15" hidden="false" customHeight="false" outlineLevel="0" collapsed="false">
      <c r="A76" s="96" t="n">
        <v>44136</v>
      </c>
      <c r="B76" s="80" t="n">
        <v>42.69</v>
      </c>
      <c r="C76" s="2"/>
      <c r="D76" s="2"/>
      <c r="E76" s="2"/>
      <c r="F76" s="2"/>
    </row>
    <row r="77" customFormat="false" ht="15" hidden="false" customHeight="false" outlineLevel="0" collapsed="false">
      <c r="A77" s="96" t="n">
        <v>44166</v>
      </c>
      <c r="B77" s="80" t="n">
        <v>49.99</v>
      </c>
      <c r="C77" s="2"/>
      <c r="D77" s="2"/>
      <c r="E77" s="2"/>
      <c r="F77" s="2"/>
    </row>
    <row r="78" customFormat="false" ht="15" hidden="false" customHeight="false" outlineLevel="0" collapsed="false">
      <c r="A78" s="96" t="n">
        <v>44197</v>
      </c>
      <c r="B78" s="80" t="n">
        <v>54.77</v>
      </c>
      <c r="C78" s="2"/>
      <c r="D78" s="2"/>
      <c r="E78" s="2"/>
      <c r="F78" s="2"/>
    </row>
    <row r="79" customFormat="false" ht="15" hidden="false" customHeight="false" outlineLevel="0" collapsed="false">
      <c r="A79" s="96" t="n">
        <v>44228</v>
      </c>
      <c r="B79" s="80" t="n">
        <v>62.28</v>
      </c>
      <c r="C79" s="2"/>
      <c r="D79" s="2"/>
      <c r="E79" s="2"/>
      <c r="F79" s="2"/>
    </row>
    <row r="80" customFormat="false" ht="15" hidden="false" customHeight="false" outlineLevel="0" collapsed="false">
      <c r="A80" s="96" t="n">
        <v>44256</v>
      </c>
      <c r="B80" s="80" t="n">
        <v>65.41</v>
      </c>
      <c r="C80" s="2"/>
      <c r="D80" s="2"/>
      <c r="E80" s="2"/>
      <c r="F80" s="2"/>
    </row>
    <row r="81" customFormat="false" ht="15" hidden="false" customHeight="false" outlineLevel="0" collapsed="false">
      <c r="A81" s="96" t="n">
        <v>44287</v>
      </c>
      <c r="B81" s="80" t="n">
        <v>64.81</v>
      </c>
      <c r="C81" s="2"/>
      <c r="D81" s="2"/>
      <c r="E81" s="2"/>
      <c r="F81" s="2"/>
    </row>
    <row r="82" customFormat="false" ht="15" hidden="false" customHeight="false" outlineLevel="0" collapsed="false">
      <c r="A82" s="96" t="n">
        <v>44317</v>
      </c>
      <c r="B82" s="80" t="n">
        <v>68.53</v>
      </c>
      <c r="C82" s="2"/>
      <c r="D82" s="2"/>
      <c r="E82" s="2"/>
      <c r="F82" s="2"/>
    </row>
    <row r="83" customFormat="false" ht="15" hidden="false" customHeight="false" outlineLevel="0" collapsed="false">
      <c r="A83" s="96" t="n">
        <v>44348</v>
      </c>
      <c r="B83" s="80" t="n">
        <v>73.16</v>
      </c>
      <c r="C83" s="2"/>
      <c r="D83" s="2"/>
      <c r="E83" s="2"/>
      <c r="F83" s="2"/>
    </row>
    <row r="84" customFormat="false" ht="15" hidden="false" customHeight="false" outlineLevel="0" collapsed="false">
      <c r="A84" s="96" t="n">
        <v>44378</v>
      </c>
      <c r="B84" s="80" t="n">
        <v>75.17</v>
      </c>
      <c r="C84" s="2"/>
      <c r="D84" s="2"/>
      <c r="E84" s="2"/>
      <c r="F84" s="2"/>
    </row>
    <row r="85" customFormat="false" ht="15" hidden="false" customHeight="false" outlineLevel="0" collapsed="false">
      <c r="A85" s="96" t="n">
        <v>44409</v>
      </c>
      <c r="B85" s="80" t="n">
        <v>70.75</v>
      </c>
      <c r="C85" s="2"/>
      <c r="D85" s="2"/>
      <c r="E85" s="2"/>
      <c r="F85" s="2"/>
    </row>
    <row r="86" customFormat="false" ht="15" hidden="false" customHeight="false" outlineLevel="0" collapsed="false">
      <c r="A86" s="96" t="n">
        <v>44440</v>
      </c>
      <c r="B86" s="80" t="n">
        <v>74.49</v>
      </c>
      <c r="C86" s="2"/>
      <c r="D86" s="2"/>
      <c r="E86" s="2"/>
      <c r="F86" s="2"/>
    </row>
    <row r="87" customFormat="false" ht="15" hidden="false" customHeight="false" outlineLevel="0" collapsed="false">
      <c r="A87" s="96" t="n">
        <v>44470</v>
      </c>
      <c r="B87" s="80" t="n">
        <v>83.54</v>
      </c>
      <c r="C87" s="2"/>
      <c r="D87" s="2"/>
      <c r="E87" s="2"/>
      <c r="F87" s="2"/>
    </row>
    <row r="88" customFormat="false" ht="15" hidden="false" customHeight="false" outlineLevel="0" collapsed="false">
      <c r="A88" s="96" t="n">
        <v>44501</v>
      </c>
      <c r="B88" s="80" t="n">
        <v>81.05</v>
      </c>
      <c r="C88" s="2"/>
      <c r="D88" s="2"/>
      <c r="E88" s="2"/>
      <c r="F88" s="2"/>
    </row>
    <row r="89" customFormat="false" ht="15" hidden="false" customHeight="false" outlineLevel="0" collapsed="false">
      <c r="A89" s="96" t="n">
        <v>44531</v>
      </c>
      <c r="B89" s="80" t="n">
        <v>74.17</v>
      </c>
      <c r="C89" s="2"/>
      <c r="D89" s="2"/>
      <c r="E89" s="2"/>
      <c r="F89" s="2"/>
    </row>
    <row r="90" customFormat="false" ht="15" hidden="false" customHeight="false" outlineLevel="0" collapsed="false">
      <c r="A90" s="96" t="n">
        <v>44562</v>
      </c>
      <c r="B90" s="80" t="n">
        <v>86.51</v>
      </c>
      <c r="C90" s="2"/>
      <c r="D90" s="2"/>
      <c r="E90" s="2"/>
      <c r="F90" s="2"/>
    </row>
    <row r="91" customFormat="false" ht="15" hidden="false" customHeight="false" outlineLevel="0" collapsed="false">
      <c r="A91" s="96" t="n">
        <v>44593</v>
      </c>
      <c r="B91" s="80" t="n">
        <v>97.13</v>
      </c>
      <c r="C91" s="2"/>
      <c r="D91" s="2"/>
      <c r="E91" s="2"/>
      <c r="F91" s="2"/>
    </row>
    <row r="92" customFormat="false" ht="15" hidden="false" customHeight="false" outlineLevel="0" collapsed="false">
      <c r="A92" s="96" t="n">
        <v>44621</v>
      </c>
      <c r="B92" s="80" t="n">
        <v>117.25</v>
      </c>
      <c r="C92" s="2"/>
      <c r="D92" s="2"/>
      <c r="E92" s="2"/>
      <c r="F92" s="2"/>
    </row>
    <row r="93" customFormat="false" ht="15" hidden="false" customHeight="false" outlineLevel="0" collapsed="false">
      <c r="A93" s="96" t="n">
        <v>44652</v>
      </c>
      <c r="B93" s="80" t="n">
        <v>104.58</v>
      </c>
      <c r="C93" s="2"/>
      <c r="D93" s="2"/>
      <c r="E93" s="2"/>
      <c r="F93" s="2"/>
    </row>
    <row r="94" customFormat="false" ht="15" hidden="false" customHeight="false" outlineLevel="0" collapsed="false">
      <c r="A94" s="96" t="n">
        <v>44682</v>
      </c>
      <c r="B94" s="80" t="n">
        <v>113.34</v>
      </c>
      <c r="C94" s="2"/>
      <c r="D94" s="2"/>
      <c r="E94" s="2"/>
      <c r="F94" s="2"/>
    </row>
    <row r="95" customFormat="false" ht="15" hidden="false" customHeight="false" outlineLevel="0" collapsed="false">
      <c r="A95" s="96" t="n">
        <v>44713</v>
      </c>
      <c r="B95" s="80" t="n">
        <v>122.71</v>
      </c>
      <c r="C95" s="2"/>
      <c r="D95" s="2"/>
      <c r="E95" s="2"/>
      <c r="F95" s="2"/>
    </row>
    <row r="96" customFormat="false" ht="15" hidden="false" customHeight="false" outlineLevel="0" collapsed="false">
      <c r="A96" s="96" t="n">
        <v>44743</v>
      </c>
      <c r="B96" s="80" t="n">
        <v>111.93</v>
      </c>
      <c r="C96" s="2"/>
      <c r="D96" s="2"/>
      <c r="E96" s="2"/>
      <c r="F96" s="2"/>
    </row>
    <row r="97" customFormat="false" ht="15" hidden="false" customHeight="false" outlineLevel="0" collapsed="false">
      <c r="A97" s="96" t="n">
        <v>44774</v>
      </c>
      <c r="B97" s="80" t="n">
        <v>100.45</v>
      </c>
      <c r="C97" s="2"/>
      <c r="D97" s="2"/>
      <c r="E97" s="2"/>
      <c r="F97" s="2"/>
    </row>
    <row r="98" customFormat="false" ht="15" hidden="false" customHeight="false" outlineLevel="0" collapsed="false">
      <c r="A98" s="96" t="n">
        <v>44805</v>
      </c>
      <c r="B98" s="80" t="n">
        <v>89.76</v>
      </c>
      <c r="C98" s="2"/>
      <c r="D98" s="2"/>
      <c r="E98" s="2"/>
      <c r="F98" s="2"/>
    </row>
    <row r="99" customFormat="false" ht="15" hidden="false" customHeight="false" outlineLevel="0" collapsed="false">
      <c r="A99" s="96" t="n">
        <v>44835</v>
      </c>
      <c r="B99" s="80" t="n">
        <v>93.33</v>
      </c>
      <c r="C99" s="2"/>
      <c r="D99" s="2"/>
      <c r="E99" s="2"/>
      <c r="F99" s="2"/>
    </row>
    <row r="100" customFormat="false" ht="15" hidden="false" customHeight="false" outlineLevel="0" collapsed="false">
      <c r="A100" s="96" t="n">
        <v>44866</v>
      </c>
      <c r="B100" s="80" t="n">
        <v>91.42</v>
      </c>
      <c r="C100" s="2"/>
      <c r="D100" s="2"/>
      <c r="E100" s="2"/>
      <c r="F100" s="2"/>
    </row>
    <row r="101" customFormat="false" ht="15" hidden="false" customHeight="false" outlineLevel="0" collapsed="false">
      <c r="A101" s="96" t="n">
        <v>44896</v>
      </c>
      <c r="B101" s="80" t="n">
        <v>80.92</v>
      </c>
      <c r="C101" s="2"/>
      <c r="D101" s="2"/>
      <c r="E101" s="2"/>
      <c r="F101" s="2"/>
    </row>
    <row r="102" customFormat="false" ht="15" hidden="false" customHeight="false" outlineLevel="0" collapsed="false">
      <c r="A102" s="96" t="n">
        <v>44927</v>
      </c>
      <c r="B102" s="80" t="n">
        <v>82.5</v>
      </c>
      <c r="C102" s="2"/>
      <c r="D102" s="2"/>
      <c r="E102" s="2"/>
      <c r="F102" s="2"/>
    </row>
    <row r="103" customFormat="false" ht="15" hidden="false" customHeight="false" outlineLevel="0" collapsed="false">
      <c r="A103" s="96" t="n">
        <v>44958</v>
      </c>
      <c r="B103" s="80" t="n">
        <v>82.59</v>
      </c>
      <c r="C103" s="2"/>
      <c r="D103" s="2"/>
      <c r="E103" s="2"/>
      <c r="F103" s="2"/>
    </row>
    <row r="104" customFormat="false" ht="15" hidden="false" customHeight="false" outlineLevel="0" collapsed="false">
      <c r="A104" s="96" t="n">
        <v>44986</v>
      </c>
      <c r="B104" s="80" t="n">
        <v>78.43</v>
      </c>
      <c r="C104" s="2"/>
      <c r="D104" s="2"/>
      <c r="E104" s="2"/>
      <c r="F104" s="2"/>
    </row>
    <row r="105" customFormat="false" ht="15" hidden="false" customHeight="false" outlineLevel="0" collapsed="false">
      <c r="A105" s="96" t="n">
        <v>45017</v>
      </c>
      <c r="B105" s="80" t="n">
        <v>84.64</v>
      </c>
      <c r="C105" s="2"/>
      <c r="D105" s="2"/>
      <c r="E105" s="2"/>
      <c r="F105" s="2"/>
    </row>
    <row r="106" customFormat="false" ht="15" hidden="false" customHeight="false" outlineLevel="0" collapsed="false">
      <c r="A106" s="96" t="n">
        <v>45047</v>
      </c>
      <c r="B106" s="80" t="n">
        <v>75.47</v>
      </c>
      <c r="C106" s="2"/>
      <c r="D106" s="2"/>
      <c r="E106" s="2"/>
      <c r="F106" s="2"/>
    </row>
    <row r="107" customFormat="false" ht="15" hidden="false" customHeight="false" outlineLevel="0" collapsed="false">
      <c r="A107" s="96" t="n">
        <v>45078</v>
      </c>
      <c r="B107" s="80" t="n">
        <v>74.84</v>
      </c>
      <c r="C107" s="2"/>
      <c r="D107" s="2"/>
      <c r="E107" s="2"/>
      <c r="F107" s="2"/>
    </row>
    <row r="108" customFormat="false" ht="15" hidden="false" customHeight="false" outlineLevel="0" collapsed="false">
      <c r="A108" s="96" t="n">
        <v>45108</v>
      </c>
      <c r="B108" s="80" t="n">
        <v>80.11</v>
      </c>
      <c r="C108" s="2"/>
      <c r="D108" s="2"/>
      <c r="E108" s="2"/>
      <c r="F108" s="2"/>
    </row>
    <row r="109" customFormat="false" ht="15" hidden="false" customHeight="false" outlineLevel="0" collapsed="false">
      <c r="A109" s="96" t="n">
        <v>45139</v>
      </c>
      <c r="B109" s="80" t="n">
        <v>86.15</v>
      </c>
      <c r="C109" s="2"/>
      <c r="D109" s="2"/>
      <c r="E109" s="2"/>
      <c r="F109" s="2"/>
    </row>
    <row r="110" customFormat="false" ht="15" hidden="false" customHeight="false" outlineLevel="0" collapsed="false">
      <c r="A110" s="96" t="n">
        <v>45170</v>
      </c>
      <c r="B110" s="80" t="n">
        <v>93.72</v>
      </c>
      <c r="C110" s="2"/>
      <c r="D110" s="2"/>
      <c r="E110" s="2"/>
      <c r="F110" s="2"/>
    </row>
    <row r="111" customFormat="false" ht="15" hidden="false" customHeight="false" outlineLevel="0" collapsed="false">
      <c r="A111" s="96" t="n">
        <v>45200</v>
      </c>
      <c r="B111" s="80" t="n">
        <v>90.6</v>
      </c>
      <c r="C111" s="2"/>
      <c r="D111" s="2"/>
      <c r="E111" s="2"/>
      <c r="F111" s="2"/>
    </row>
    <row r="112" customFormat="false" ht="15" hidden="false" customHeight="false" outlineLevel="0" collapsed="false">
      <c r="A112" s="96" t="n">
        <v>45231</v>
      </c>
      <c r="B112" s="80" t="n">
        <v>82.94</v>
      </c>
      <c r="C112" s="2"/>
      <c r="D112" s="2"/>
      <c r="E112" s="2"/>
      <c r="F112" s="2"/>
    </row>
    <row r="113" customFormat="false" ht="15" hidden="false" customHeight="false" outlineLevel="0" collapsed="false">
      <c r="A113" s="96" t="n">
        <v>45261</v>
      </c>
      <c r="B113" s="80" t="n">
        <v>77.63</v>
      </c>
      <c r="C113" s="2"/>
      <c r="D113" s="2"/>
      <c r="E113" s="2"/>
      <c r="F113" s="2"/>
    </row>
    <row r="114" customFormat="false" ht="15" hidden="false" customHeight="false" outlineLevel="0" collapsed="false">
      <c r="A114" s="96" t="n">
        <v>45292</v>
      </c>
      <c r="B114" s="80" t="n">
        <v>80.12</v>
      </c>
      <c r="C114" s="2"/>
      <c r="D114" s="2"/>
      <c r="E114" s="2"/>
      <c r="F114" s="2"/>
    </row>
    <row r="115" customFormat="false" ht="15" hidden="false" customHeight="false" outlineLevel="0" collapsed="false">
      <c r="A115" s="96" t="n">
        <v>45323</v>
      </c>
      <c r="B115" s="80" t="n">
        <v>83.48</v>
      </c>
      <c r="C115" s="2"/>
      <c r="D115" s="2"/>
      <c r="E115" s="2"/>
      <c r="F115" s="2"/>
    </row>
    <row r="116" customFormat="false" ht="15" hidden="false" customHeight="false" outlineLevel="0" collapsed="false">
      <c r="A116" s="96" t="n">
        <v>45352</v>
      </c>
      <c r="B116" s="80" t="n">
        <v>85.41</v>
      </c>
      <c r="C116" s="2"/>
      <c r="D116" s="2"/>
      <c r="E116" s="2"/>
      <c r="F116" s="2"/>
    </row>
    <row r="117" customFormat="false" ht="15" hidden="false" customHeight="false" outlineLevel="0" collapsed="false">
      <c r="A117" s="96" t="n">
        <v>45383</v>
      </c>
      <c r="B117" s="80" t="n">
        <v>89.94</v>
      </c>
      <c r="C117" s="2"/>
      <c r="D117" s="2"/>
      <c r="E117" s="2"/>
      <c r="F117" s="2"/>
    </row>
    <row r="118" customFormat="false" ht="15" hidden="false" customHeight="false" outlineLevel="0" collapsed="false">
      <c r="A118" s="96" t="n">
        <v>45413</v>
      </c>
      <c r="B118" s="80" t="n">
        <v>81.75</v>
      </c>
      <c r="C118" s="2"/>
      <c r="D118" s="2"/>
      <c r="E118" s="2"/>
      <c r="F118" s="2"/>
    </row>
    <row r="119" customFormat="false" ht="15" hidden="false" customHeight="false" outlineLevel="0" collapsed="false">
      <c r="A119" s="96" t="n">
        <v>45444</v>
      </c>
      <c r="B119" s="80" t="n">
        <v>82.25</v>
      </c>
      <c r="C119" s="2"/>
      <c r="D119" s="2"/>
      <c r="E119" s="2"/>
      <c r="F119" s="2"/>
    </row>
    <row r="120" customFormat="false" ht="15" hidden="false" customHeight="false" outlineLevel="0" collapsed="false">
      <c r="A120" s="96" t="n">
        <v>45474</v>
      </c>
      <c r="B120" s="80" t="n">
        <v>85.15</v>
      </c>
      <c r="C120" s="2"/>
      <c r="D120" s="2"/>
      <c r="E120" s="2"/>
      <c r="F120" s="2"/>
    </row>
    <row r="121" customFormat="false" ht="15" hidden="false" customHeight="false" outlineLevel="0" collapsed="false">
      <c r="A121" s="96" t="n">
        <v>45505</v>
      </c>
      <c r="B121" s="80" t="n">
        <v>80.36</v>
      </c>
      <c r="C121" s="2"/>
      <c r="D121" s="2"/>
      <c r="E121" s="2"/>
      <c r="F121" s="2"/>
    </row>
    <row r="122" customFormat="false" ht="15" hidden="false" customHeight="false" outlineLevel="0" collapsed="false">
      <c r="A122" s="96" t="n">
        <v>45536</v>
      </c>
      <c r="B122" s="80" t="n">
        <v>74.02</v>
      </c>
      <c r="C122" s="2"/>
      <c r="D122" s="2"/>
      <c r="E122" s="2"/>
      <c r="F122" s="2"/>
    </row>
    <row r="123" customFormat="false" ht="15" hidden="false" customHeight="false" outlineLevel="0" collapsed="false">
      <c r="A123" s="96" t="n">
        <v>45566</v>
      </c>
      <c r="B123" s="80" t="n">
        <v>75.63</v>
      </c>
      <c r="C123" s="2"/>
      <c r="D123" s="2"/>
      <c r="E123" s="2"/>
      <c r="F123" s="2"/>
    </row>
    <row r="124" customFormat="false" ht="15" hidden="false" customHeight="false" outlineLevel="0" collapsed="false">
      <c r="A124" s="96" t="n">
        <v>45597</v>
      </c>
      <c r="B124" s="80" t="n">
        <v>74.35</v>
      </c>
      <c r="C124" s="2"/>
      <c r="D124" s="2"/>
      <c r="E124" s="2"/>
      <c r="F124" s="2"/>
    </row>
    <row r="125" customFormat="false" ht="15" hidden="false" customHeight="false" outlineLevel="0" collapsed="false">
      <c r="A125" s="96" t="n">
        <v>45627</v>
      </c>
      <c r="B125" s="80" t="n">
        <v>73.86</v>
      </c>
      <c r="C125" s="2"/>
      <c r="D125" s="2"/>
      <c r="E125" s="2"/>
      <c r="F125" s="2"/>
    </row>
    <row r="126" customFormat="false" ht="15" hidden="false" customHeight="false" outlineLevel="0" collapsed="false">
      <c r="A126" s="96" t="n">
        <v>45658</v>
      </c>
      <c r="B126" s="80" t="n">
        <v>79.27</v>
      </c>
      <c r="C126" s="2"/>
      <c r="D126" s="2"/>
      <c r="E126" s="2"/>
      <c r="F126" s="2"/>
    </row>
    <row r="127" customFormat="false" ht="15" hidden="false" customHeight="false" outlineLevel="0" collapsed="false">
      <c r="A127" s="96" t="n">
        <v>45689</v>
      </c>
      <c r="B127" s="80" t="n">
        <v>75.44</v>
      </c>
      <c r="C127" s="2"/>
      <c r="D127" s="2"/>
      <c r="E127" s="2"/>
      <c r="F127" s="2"/>
    </row>
    <row r="128" customFormat="false" ht="15" hidden="false" customHeight="false" outlineLevel="0" collapsed="false">
      <c r="A128" s="96" t="n">
        <v>45717</v>
      </c>
      <c r="B128" s="80" t="n">
        <v>72.73</v>
      </c>
      <c r="C128" s="2"/>
      <c r="D128" s="2"/>
      <c r="E128" s="2"/>
      <c r="F128" s="2"/>
    </row>
    <row r="129" customFormat="false" ht="15" hidden="false" customHeight="false" outlineLevel="0" collapsed="false">
      <c r="A129" s="96" t="n">
        <v>45748</v>
      </c>
      <c r="B129" s="80" t="n">
        <v>68.13</v>
      </c>
      <c r="C129" s="2"/>
      <c r="D129" s="2"/>
      <c r="E129" s="2"/>
      <c r="F129" s="2"/>
    </row>
    <row r="130" customFormat="false" ht="15" hidden="false" customHeight="false" outlineLevel="0" collapsed="false">
      <c r="A130" s="96" t="n">
        <v>45778</v>
      </c>
      <c r="B130" s="80" t="n">
        <v>64.45</v>
      </c>
      <c r="C130" s="2"/>
      <c r="D130" s="2"/>
      <c r="E130" s="2"/>
      <c r="F130" s="2"/>
    </row>
    <row r="131" customFormat="false" ht="15" hidden="false" customHeight="false" outlineLevel="0" collapsed="false">
      <c r="A131" s="96" t="n">
        <v>45809</v>
      </c>
      <c r="B131" s="80" t="n">
        <v>71.44</v>
      </c>
      <c r="C131" s="2"/>
      <c r="D131" s="2"/>
      <c r="E131" s="2"/>
      <c r="F131" s="2"/>
    </row>
    <row r="132" customFormat="false" ht="15" hidden="false" customHeight="false" outlineLevel="0" collapsed="false">
      <c r="A132" s="96" t="n">
        <v>45839</v>
      </c>
      <c r="B132" s="80" t="n">
        <v>71.04</v>
      </c>
      <c r="C132" s="2"/>
      <c r="D132" s="2"/>
      <c r="E132" s="2"/>
      <c r="F132" s="2"/>
    </row>
    <row r="133" customFormat="false" ht="15" hidden="false" customHeight="false" outlineLevel="0" collapsed="false">
      <c r="A133" s="96" t="n">
        <v>45870</v>
      </c>
      <c r="B133" s="80" t="n">
        <v>67.87</v>
      </c>
      <c r="C133" s="2"/>
      <c r="D133" s="2"/>
      <c r="E133" s="2"/>
      <c r="F133" s="2"/>
    </row>
    <row r="134" customFormat="false" ht="15" hidden="false" customHeight="false" outlineLevel="0" collapsed="false">
      <c r="A134" s="96" t="n">
        <v>45901</v>
      </c>
      <c r="B134" s="80" t="n">
        <v>67.99</v>
      </c>
      <c r="C134" s="2"/>
      <c r="D134" s="2"/>
      <c r="E134" s="2"/>
      <c r="F134" s="2"/>
    </row>
    <row r="135" customFormat="false" ht="15" hidden="false" customHeight="false" outlineLevel="0" collapsed="false">
      <c r="A135" s="96" t="n">
        <v>45931</v>
      </c>
      <c r="B135" s="80" t="n">
        <v>64.54</v>
      </c>
      <c r="C135" s="2"/>
      <c r="D135" s="2"/>
      <c r="E135" s="2"/>
      <c r="F135" s="2"/>
    </row>
    <row r="136" customFormat="false" ht="15" hidden="false" customHeight="false" outlineLevel="0" collapsed="false">
      <c r="A136" s="96" t="n">
        <v>45962</v>
      </c>
      <c r="B136" s="80" t="n">
        <v>63.8</v>
      </c>
      <c r="C136" s="2"/>
      <c r="D136" s="2"/>
      <c r="E136" s="2"/>
      <c r="F136" s="2"/>
    </row>
    <row r="137" customFormat="false" ht="15" hidden="false" customHeight="false" outlineLevel="0" collapsed="false">
      <c r="A137" s="96" t="n">
        <v>45992</v>
      </c>
      <c r="B137" s="80" t="n">
        <v>62.54</v>
      </c>
      <c r="C137" s="2"/>
      <c r="D137" s="2"/>
      <c r="E137" s="2"/>
      <c r="F137" s="2"/>
    </row>
    <row r="138" customFormat="false" ht="15" hidden="false" customHeight="false" outlineLevel="0" collapsed="false">
      <c r="A138" s="96" t="n">
        <v>46023</v>
      </c>
      <c r="B138" s="80" t="n">
        <v>66.6</v>
      </c>
      <c r="C138" s="2"/>
      <c r="D138" s="2"/>
      <c r="E138" s="2"/>
      <c r="F138" s="2"/>
    </row>
    <row r="139" customFormat="false" ht="15" hidden="false" customHeight="false" outlineLevel="0" collapsed="false">
      <c r="A139" s="96" t="n">
        <v>46054</v>
      </c>
      <c r="B139" s="80" t="n">
        <v>70.89</v>
      </c>
      <c r="C139" s="2"/>
      <c r="D139" s="2"/>
      <c r="E139" s="2"/>
      <c r="F139" s="2"/>
    </row>
    <row r="140" customFormat="false" ht="15" hidden="false" customHeight="false" outlineLevel="0" collapsed="false">
      <c r="A140" s="96" t="n">
        <v>46082</v>
      </c>
      <c r="B140" s="80" t="n">
        <v>103.13</v>
      </c>
      <c r="C140" s="2"/>
      <c r="D140" s="2"/>
      <c r="E140" s="2"/>
      <c r="F140" s="2"/>
    </row>
    <row r="141" customFormat="false" ht="15" hidden="false" customHeight="false" outlineLevel="0" collapsed="false">
      <c r="A141" s="96" t="n">
        <v>46113</v>
      </c>
      <c r="B141" s="80" t="n">
        <v>117.29</v>
      </c>
      <c r="C141" s="2"/>
      <c r="D141" s="2"/>
      <c r="E141" s="2"/>
      <c r="F141" s="2"/>
    </row>
    <row r="142" customFormat="false" ht="15" hidden="false" customHeight="false" outlineLevel="0" collapsed="false">
      <c r="A142" s="96" t="n">
        <v>46143</v>
      </c>
      <c r="B142" s="80" t="n">
        <v>107.14</v>
      </c>
      <c r="C142" s="2"/>
      <c r="D142" s="2"/>
      <c r="E142" s="2"/>
      <c r="F142" s="2"/>
    </row>
    <row r="143" customFormat="false" ht="15" hidden="false" customHeight="false" outlineLevel="0" collapsed="false">
      <c r="A143" s="96" t="n">
        <v>46174</v>
      </c>
      <c r="B143" s="80" t="n">
        <v>85.4</v>
      </c>
      <c r="C143" s="2"/>
      <c r="D143" s="2"/>
      <c r="E143" s="2"/>
      <c r="F143" s="2"/>
    </row>
    <row r="144" customFormat="false" ht="15" hidden="false" customHeight="false" outlineLevel="0" collapsed="false">
      <c r="A144" s="96" t="n">
        <v>46204</v>
      </c>
      <c r="B144" s="80" t="n">
        <v>83.76</v>
      </c>
      <c r="C144" s="2"/>
      <c r="D144" s="2"/>
      <c r="E144" s="2"/>
      <c r="F144" s="2"/>
    </row>
    <row r="145" customFormat="false" ht="15" hidden="false" customHeight="false" outlineLevel="0" collapsed="false">
      <c r="A145" s="96" t="n">
        <v>46235</v>
      </c>
      <c r="B145" s="80" t="n">
        <v>91.08</v>
      </c>
      <c r="C145" s="2"/>
      <c r="D145" s="2"/>
      <c r="E145" s="2"/>
      <c r="F14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G2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5" style="0" width="26"/>
    <col collapsed="false" customWidth="true" hidden="false" outlineLevel="0" max="6" min="6" style="0" width="11"/>
    <col collapsed="false" customWidth="true" hidden="false" outlineLevel="0" max="7" min="7" style="0" width="28"/>
  </cols>
  <sheetData>
    <row r="1" customFormat="false" ht="19.7" hidden="false" customHeight="false" outlineLevel="0" collapsed="false">
      <c r="A1" s="1" t="s">
        <v>726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0" t="s">
        <v>727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</row>
    <row r="5" customFormat="false" ht="26.85" hidden="false" customHeight="false" outlineLevel="0" collapsed="false">
      <c r="A5" s="21" t="s">
        <v>709</v>
      </c>
      <c r="B5" s="21" t="s">
        <v>728</v>
      </c>
      <c r="C5" s="21" t="s">
        <v>729</v>
      </c>
      <c r="D5" s="2"/>
      <c r="E5" s="21" t="s">
        <v>710</v>
      </c>
      <c r="F5" s="21" t="s">
        <v>68</v>
      </c>
      <c r="G5" s="21" t="s">
        <v>711</v>
      </c>
    </row>
    <row r="6" customFormat="false" ht="15" hidden="false" customHeight="false" outlineLevel="0" collapsed="false">
      <c r="A6" s="96" t="n">
        <v>39783</v>
      </c>
      <c r="B6" s="77" t="n">
        <v>100</v>
      </c>
      <c r="C6" s="2"/>
      <c r="D6" s="2"/>
      <c r="E6" s="2" t="s">
        <v>730</v>
      </c>
      <c r="F6" s="77" t="n">
        <f aca="false">B216</f>
        <v>176.98</v>
      </c>
      <c r="G6" s="2" t="s">
        <v>731</v>
      </c>
    </row>
    <row r="7" customFormat="false" ht="15" hidden="false" customHeight="false" outlineLevel="0" collapsed="false">
      <c r="A7" s="96" t="n">
        <v>39814</v>
      </c>
      <c r="B7" s="77" t="n">
        <v>90.8</v>
      </c>
      <c r="C7" s="2"/>
      <c r="D7" s="2"/>
      <c r="E7" s="2" t="s">
        <v>732</v>
      </c>
      <c r="F7" s="72" t="n">
        <f aca="false">ROUND(PERCENTILE(C91:C216,0.1),3)</f>
        <v>-0.089</v>
      </c>
      <c r="G7" s="2" t="s">
        <v>733</v>
      </c>
    </row>
    <row r="8" customFormat="false" ht="15" hidden="false" customHeight="false" outlineLevel="0" collapsed="false">
      <c r="A8" s="96" t="n">
        <v>39845</v>
      </c>
      <c r="B8" s="77" t="n">
        <v>87.2</v>
      </c>
      <c r="C8" s="2"/>
      <c r="D8" s="2"/>
      <c r="E8" s="2" t="s">
        <v>734</v>
      </c>
      <c r="F8" s="72" t="n">
        <f aca="false">ROUND(PERCENTILE(C91:C216,0.9),3)</f>
        <v>0.249</v>
      </c>
      <c r="G8" s="2" t="s">
        <v>735</v>
      </c>
    </row>
    <row r="9" customFormat="false" ht="15" hidden="false" customHeight="false" outlineLevel="0" collapsed="false">
      <c r="A9" s="96" t="n">
        <v>39873</v>
      </c>
      <c r="B9" s="77" t="n">
        <v>87.4</v>
      </c>
      <c r="C9" s="2"/>
      <c r="D9" s="2"/>
      <c r="E9" s="2" t="s">
        <v>736</v>
      </c>
      <c r="F9" s="81" t="n">
        <f aca="false">1+ROUND(F7,2)</f>
        <v>0.91</v>
      </c>
      <c r="G9" s="2" t="s">
        <v>737</v>
      </c>
    </row>
    <row r="10" customFormat="false" ht="15" hidden="false" customHeight="false" outlineLevel="0" collapsed="false">
      <c r="A10" s="96" t="n">
        <v>39904</v>
      </c>
      <c r="B10" s="77" t="n">
        <v>87.8</v>
      </c>
      <c r="C10" s="2"/>
      <c r="D10" s="2"/>
      <c r="E10" s="2" t="s">
        <v>738</v>
      </c>
      <c r="F10" s="81" t="n">
        <f aca="false">1+ROUND(F8,2)</f>
        <v>1.25</v>
      </c>
      <c r="G10" s="2" t="s">
        <v>739</v>
      </c>
    </row>
    <row r="11" customFormat="false" ht="15" hidden="false" customHeight="false" outlineLevel="0" collapsed="false">
      <c r="A11" s="96" t="n">
        <v>39934</v>
      </c>
      <c r="B11" s="77" t="n">
        <v>80.8</v>
      </c>
      <c r="C11" s="2"/>
      <c r="D11" s="2"/>
      <c r="E11" s="2"/>
      <c r="F11" s="2"/>
      <c r="G11" s="2"/>
    </row>
    <row r="12" customFormat="false" ht="15" hidden="false" customHeight="false" outlineLevel="0" collapsed="false">
      <c r="A12" s="96" t="n">
        <v>39965</v>
      </c>
      <c r="B12" s="77" t="n">
        <v>80.9</v>
      </c>
      <c r="C12" s="2"/>
      <c r="D12" s="2"/>
      <c r="E12" s="2"/>
      <c r="F12" s="2"/>
      <c r="G12" s="2"/>
    </row>
    <row r="13" customFormat="false" ht="15" hidden="false" customHeight="true" outlineLevel="0" collapsed="false">
      <c r="A13" s="96" t="n">
        <v>39995</v>
      </c>
      <c r="B13" s="77" t="n">
        <v>81.4</v>
      </c>
      <c r="C13" s="2"/>
      <c r="D13" s="2"/>
      <c r="E13" s="19" t="s">
        <v>740</v>
      </c>
      <c r="F13" s="19"/>
      <c r="G13" s="19"/>
    </row>
    <row r="14" customFormat="false" ht="15" hidden="false" customHeight="false" outlineLevel="0" collapsed="false">
      <c r="A14" s="96" t="n">
        <v>40026</v>
      </c>
      <c r="B14" s="77" t="n">
        <v>82.2</v>
      </c>
      <c r="C14" s="2"/>
      <c r="D14" s="2"/>
      <c r="E14" s="19"/>
      <c r="F14" s="19"/>
      <c r="G14" s="19"/>
    </row>
    <row r="15" customFormat="false" ht="15" hidden="false" customHeight="false" outlineLevel="0" collapsed="false">
      <c r="A15" s="96" t="n">
        <v>40057</v>
      </c>
      <c r="B15" s="77" t="n">
        <v>83.5</v>
      </c>
      <c r="C15" s="2"/>
      <c r="D15" s="2"/>
      <c r="E15" s="19"/>
      <c r="F15" s="19"/>
      <c r="G15" s="19"/>
    </row>
    <row r="16" customFormat="false" ht="15" hidden="false" customHeight="false" outlineLevel="0" collapsed="false">
      <c r="A16" s="96" t="n">
        <v>40087</v>
      </c>
      <c r="B16" s="77" t="n">
        <v>84.4</v>
      </c>
      <c r="C16" s="2"/>
      <c r="D16" s="2"/>
      <c r="E16" s="19"/>
      <c r="F16" s="19"/>
      <c r="G16" s="19"/>
    </row>
    <row r="17" customFormat="false" ht="15" hidden="false" customHeight="false" outlineLevel="0" collapsed="false">
      <c r="A17" s="96" t="n">
        <v>40118</v>
      </c>
      <c r="B17" s="77" t="n">
        <v>84.8</v>
      </c>
      <c r="C17" s="2"/>
      <c r="D17" s="2"/>
      <c r="E17" s="19"/>
      <c r="F17" s="19"/>
      <c r="G17" s="19"/>
    </row>
    <row r="18" customFormat="false" ht="15" hidden="false" customHeight="false" outlineLevel="0" collapsed="false">
      <c r="A18" s="96" t="n">
        <v>40148</v>
      </c>
      <c r="B18" s="77" t="n">
        <v>85.7</v>
      </c>
      <c r="C18" s="72" t="n">
        <f aca="false">B18/B6-1</f>
        <v>-0.143</v>
      </c>
      <c r="D18" s="2"/>
      <c r="E18" s="2"/>
      <c r="F18" s="2"/>
      <c r="G18" s="2"/>
    </row>
    <row r="19" customFormat="false" ht="15" hidden="false" customHeight="false" outlineLevel="0" collapsed="false">
      <c r="A19" s="96" t="n">
        <v>40179</v>
      </c>
      <c r="B19" s="77" t="n">
        <v>88</v>
      </c>
      <c r="C19" s="72" t="n">
        <f aca="false">B19/B7-1</f>
        <v>-0.0308370044052864</v>
      </c>
      <c r="D19" s="2"/>
      <c r="E19" s="2"/>
      <c r="F19" s="2"/>
      <c r="G19" s="2"/>
    </row>
    <row r="20" customFormat="false" ht="15" hidden="false" customHeight="false" outlineLevel="0" collapsed="false">
      <c r="A20" s="96" t="n">
        <v>40210</v>
      </c>
      <c r="B20" s="77" t="n">
        <v>88.8</v>
      </c>
      <c r="C20" s="72" t="n">
        <f aca="false">B20/B8-1</f>
        <v>0.0183486238532109</v>
      </c>
      <c r="D20" s="2"/>
      <c r="E20" s="2"/>
      <c r="F20" s="2"/>
      <c r="G20" s="2"/>
    </row>
    <row r="21" customFormat="false" ht="15" hidden="false" customHeight="false" outlineLevel="0" collapsed="false">
      <c r="A21" s="96" t="n">
        <v>40238</v>
      </c>
      <c r="B21" s="77" t="n">
        <v>88.8</v>
      </c>
      <c r="C21" s="72" t="n">
        <f aca="false">B21/B9-1</f>
        <v>0.0160183066361554</v>
      </c>
      <c r="D21" s="2"/>
      <c r="E21" s="2"/>
      <c r="F21" s="2"/>
      <c r="G21" s="2"/>
    </row>
    <row r="22" customFormat="false" ht="15" hidden="false" customHeight="false" outlineLevel="0" collapsed="false">
      <c r="A22" s="96" t="n">
        <v>40269</v>
      </c>
      <c r="B22" s="77" t="n">
        <v>91.7</v>
      </c>
      <c r="C22" s="72" t="n">
        <f aca="false">B22/B10-1</f>
        <v>0.0444191343963554</v>
      </c>
      <c r="D22" s="2"/>
      <c r="E22" s="2"/>
      <c r="F22" s="2"/>
      <c r="G22" s="2"/>
    </row>
    <row r="23" customFormat="false" ht="15" hidden="false" customHeight="false" outlineLevel="0" collapsed="false">
      <c r="A23" s="96" t="n">
        <v>40299</v>
      </c>
      <c r="B23" s="77" t="n">
        <v>93.9</v>
      </c>
      <c r="C23" s="72" t="n">
        <f aca="false">B23/B11-1</f>
        <v>0.162128712871287</v>
      </c>
      <c r="D23" s="2"/>
      <c r="E23" s="2"/>
      <c r="F23" s="2"/>
      <c r="G23" s="2"/>
    </row>
    <row r="24" customFormat="false" ht="15" hidden="false" customHeight="false" outlineLevel="0" collapsed="false">
      <c r="A24" s="96" t="n">
        <v>40330</v>
      </c>
      <c r="B24" s="77" t="n">
        <v>95.9</v>
      </c>
      <c r="C24" s="72" t="n">
        <f aca="false">B24/B12-1</f>
        <v>0.185414091470952</v>
      </c>
      <c r="D24" s="2"/>
      <c r="E24" s="2"/>
      <c r="F24" s="2"/>
      <c r="G24" s="2"/>
    </row>
    <row r="25" customFormat="false" ht="15" hidden="false" customHeight="false" outlineLevel="0" collapsed="false">
      <c r="A25" s="96" t="n">
        <v>40360</v>
      </c>
      <c r="B25" s="77" t="n">
        <v>98.5</v>
      </c>
      <c r="C25" s="72" t="n">
        <f aca="false">B25/B13-1</f>
        <v>0.21007371007371</v>
      </c>
      <c r="D25" s="2"/>
      <c r="E25" s="2"/>
      <c r="F25" s="2"/>
      <c r="G25" s="2"/>
    </row>
    <row r="26" customFormat="false" ht="15" hidden="false" customHeight="false" outlineLevel="0" collapsed="false">
      <c r="A26" s="96" t="n">
        <v>40391</v>
      </c>
      <c r="B26" s="77" t="n">
        <v>98.5</v>
      </c>
      <c r="C26" s="72" t="n">
        <f aca="false">B26/B14-1</f>
        <v>0.198296836982968</v>
      </c>
      <c r="D26" s="2"/>
      <c r="E26" s="2"/>
      <c r="F26" s="2"/>
      <c r="G26" s="2"/>
    </row>
    <row r="27" customFormat="false" ht="15" hidden="false" customHeight="false" outlineLevel="0" collapsed="false">
      <c r="A27" s="96" t="n">
        <v>40422</v>
      </c>
      <c r="B27" s="77" t="n">
        <v>98.6</v>
      </c>
      <c r="C27" s="72" t="n">
        <f aca="false">B27/B15-1</f>
        <v>0.180838323353293</v>
      </c>
      <c r="D27" s="2"/>
      <c r="E27" s="2"/>
      <c r="F27" s="2"/>
      <c r="G27" s="2"/>
    </row>
    <row r="28" customFormat="false" ht="15" hidden="false" customHeight="false" outlineLevel="0" collapsed="false">
      <c r="A28" s="96" t="n">
        <v>40452</v>
      </c>
      <c r="B28" s="77" t="n">
        <v>97.9</v>
      </c>
      <c r="C28" s="72" t="n">
        <f aca="false">B28/B16-1</f>
        <v>0.159952606635071</v>
      </c>
      <c r="D28" s="2"/>
      <c r="E28" s="2"/>
      <c r="F28" s="2"/>
      <c r="G28" s="2"/>
    </row>
    <row r="29" customFormat="false" ht="15" hidden="false" customHeight="false" outlineLevel="0" collapsed="false">
      <c r="A29" s="96" t="n">
        <v>40483</v>
      </c>
      <c r="B29" s="77" t="n">
        <v>97.9</v>
      </c>
      <c r="C29" s="72" t="n">
        <f aca="false">B29/B17-1</f>
        <v>0.154481132075472</v>
      </c>
      <c r="D29" s="2"/>
      <c r="E29" s="2"/>
      <c r="F29" s="2"/>
      <c r="G29" s="2"/>
    </row>
    <row r="30" customFormat="false" ht="15" hidden="false" customHeight="false" outlineLevel="0" collapsed="false">
      <c r="A30" s="96" t="n">
        <v>40513</v>
      </c>
      <c r="B30" s="77" t="n">
        <v>97.9</v>
      </c>
      <c r="C30" s="72" t="n">
        <f aca="false">B30/B18-1</f>
        <v>0.142357059509918</v>
      </c>
      <c r="D30" s="2"/>
      <c r="E30" s="2"/>
      <c r="F30" s="2"/>
      <c r="G30" s="2"/>
    </row>
    <row r="31" customFormat="false" ht="15" hidden="false" customHeight="false" outlineLevel="0" collapsed="false">
      <c r="A31" s="96" t="n">
        <v>40544</v>
      </c>
      <c r="B31" s="77" t="n">
        <v>98.3</v>
      </c>
      <c r="C31" s="72" t="n">
        <f aca="false">B31/B19-1</f>
        <v>0.117045454545454</v>
      </c>
      <c r="D31" s="2"/>
      <c r="E31" s="2"/>
      <c r="F31" s="2"/>
      <c r="G31" s="2"/>
    </row>
    <row r="32" customFormat="false" ht="15" hidden="false" customHeight="false" outlineLevel="0" collapsed="false">
      <c r="A32" s="96" t="n">
        <v>40575</v>
      </c>
      <c r="B32" s="77" t="n">
        <v>99.4</v>
      </c>
      <c r="C32" s="72" t="n">
        <f aca="false">B32/B20-1</f>
        <v>0.119369369369369</v>
      </c>
      <c r="D32" s="2"/>
      <c r="E32" s="2"/>
      <c r="F32" s="2"/>
      <c r="G32" s="2"/>
    </row>
    <row r="33" customFormat="false" ht="15" hidden="false" customHeight="false" outlineLevel="0" collapsed="false">
      <c r="A33" s="96" t="n">
        <v>40603</v>
      </c>
      <c r="B33" s="77" t="n">
        <v>102</v>
      </c>
      <c r="C33" s="72" t="n">
        <f aca="false">B33/B21-1</f>
        <v>0.148648648648649</v>
      </c>
      <c r="D33" s="2"/>
      <c r="E33" s="2"/>
      <c r="F33" s="2"/>
      <c r="G33" s="2"/>
    </row>
    <row r="34" customFormat="false" ht="15" hidden="false" customHeight="false" outlineLevel="0" collapsed="false">
      <c r="A34" s="96" t="n">
        <v>40634</v>
      </c>
      <c r="B34" s="77" t="n">
        <v>102.7</v>
      </c>
      <c r="C34" s="72" t="n">
        <f aca="false">B34/B22-1</f>
        <v>0.119956379498364</v>
      </c>
      <c r="D34" s="2"/>
      <c r="E34" s="2"/>
      <c r="F34" s="2"/>
      <c r="G34" s="2"/>
    </row>
    <row r="35" customFormat="false" ht="15" hidden="false" customHeight="false" outlineLevel="0" collapsed="false">
      <c r="A35" s="96" t="n">
        <v>40664</v>
      </c>
      <c r="B35" s="77" t="n">
        <v>102.7</v>
      </c>
      <c r="C35" s="72" t="n">
        <f aca="false">B35/B23-1</f>
        <v>0.093716719914803</v>
      </c>
      <c r="D35" s="2"/>
      <c r="E35" s="2"/>
      <c r="F35" s="2"/>
      <c r="G35" s="2"/>
    </row>
    <row r="36" customFormat="false" ht="15" hidden="false" customHeight="false" outlineLevel="0" collapsed="false">
      <c r="A36" s="96" t="n">
        <v>40695</v>
      </c>
      <c r="B36" s="77" t="n">
        <v>103.7</v>
      </c>
      <c r="C36" s="72" t="n">
        <f aca="false">B36/B24-1</f>
        <v>0.08133472367049</v>
      </c>
      <c r="D36" s="2"/>
      <c r="E36" s="2"/>
      <c r="F36" s="2"/>
      <c r="G36" s="2"/>
    </row>
    <row r="37" customFormat="false" ht="15" hidden="false" customHeight="false" outlineLevel="0" collapsed="false">
      <c r="A37" s="96" t="n">
        <v>40725</v>
      </c>
      <c r="B37" s="77" t="n">
        <v>98.9</v>
      </c>
      <c r="C37" s="72" t="n">
        <f aca="false">B37/B25-1</f>
        <v>0.00406091370558381</v>
      </c>
      <c r="D37" s="2"/>
      <c r="E37" s="2"/>
      <c r="F37" s="2"/>
      <c r="G37" s="2"/>
    </row>
    <row r="38" customFormat="false" ht="15" hidden="false" customHeight="false" outlineLevel="0" collapsed="false">
      <c r="A38" s="96" t="n">
        <v>40756</v>
      </c>
      <c r="B38" s="77" t="n">
        <v>96</v>
      </c>
      <c r="C38" s="72" t="n">
        <f aca="false">B38/B26-1</f>
        <v>-0.0253807106598984</v>
      </c>
      <c r="D38" s="2"/>
      <c r="E38" s="2"/>
      <c r="F38" s="2"/>
      <c r="G38" s="2"/>
    </row>
    <row r="39" customFormat="false" ht="15" hidden="false" customHeight="false" outlineLevel="0" collapsed="false">
      <c r="A39" s="96" t="n">
        <v>40787</v>
      </c>
      <c r="B39" s="77" t="n">
        <v>95.7</v>
      </c>
      <c r="C39" s="72" t="n">
        <f aca="false">B39/B27-1</f>
        <v>-0.0294117647058823</v>
      </c>
      <c r="D39" s="2"/>
      <c r="E39" s="2"/>
      <c r="F39" s="2"/>
      <c r="G39" s="2"/>
    </row>
    <row r="40" customFormat="false" ht="15" hidden="false" customHeight="false" outlineLevel="0" collapsed="false">
      <c r="A40" s="96" t="n">
        <v>40817</v>
      </c>
      <c r="B40" s="77" t="n">
        <v>92.7</v>
      </c>
      <c r="C40" s="72" t="n">
        <f aca="false">B40/B28-1</f>
        <v>-0.0531154239019408</v>
      </c>
      <c r="D40" s="2"/>
      <c r="E40" s="2"/>
      <c r="F40" s="2"/>
      <c r="G40" s="2"/>
    </row>
    <row r="41" customFormat="false" ht="15" hidden="false" customHeight="false" outlineLevel="0" collapsed="false">
      <c r="A41" s="96" t="n">
        <v>40848</v>
      </c>
      <c r="B41" s="77" t="n">
        <v>94.5</v>
      </c>
      <c r="C41" s="72" t="n">
        <f aca="false">B41/B29-1</f>
        <v>-0.034729315628192</v>
      </c>
      <c r="D41" s="2"/>
      <c r="E41" s="2"/>
      <c r="F41" s="2"/>
      <c r="G41" s="2"/>
    </row>
    <row r="42" customFormat="false" ht="15" hidden="false" customHeight="false" outlineLevel="0" collapsed="false">
      <c r="A42" s="96" t="n">
        <v>40878</v>
      </c>
      <c r="B42" s="77" t="n">
        <v>92.3</v>
      </c>
      <c r="C42" s="72" t="n">
        <f aca="false">B42/B30-1</f>
        <v>-0.0572012257405516</v>
      </c>
      <c r="D42" s="2"/>
      <c r="E42" s="2"/>
      <c r="F42" s="2"/>
      <c r="G42" s="2"/>
    </row>
    <row r="43" customFormat="false" ht="15" hidden="false" customHeight="false" outlineLevel="0" collapsed="false">
      <c r="A43" s="96" t="n">
        <v>40909</v>
      </c>
      <c r="B43" s="77" t="n">
        <v>92.4</v>
      </c>
      <c r="C43" s="72" t="n">
        <f aca="false">B43/B31-1</f>
        <v>-0.0600203458799592</v>
      </c>
      <c r="D43" s="2"/>
      <c r="E43" s="2"/>
      <c r="F43" s="2"/>
      <c r="G43" s="2"/>
    </row>
    <row r="44" customFormat="false" ht="15" hidden="false" customHeight="false" outlineLevel="0" collapsed="false">
      <c r="A44" s="96" t="n">
        <v>40940</v>
      </c>
      <c r="B44" s="77" t="n">
        <v>93.6</v>
      </c>
      <c r="C44" s="72" t="n">
        <f aca="false">B44/B32-1</f>
        <v>-0.0583501006036219</v>
      </c>
      <c r="D44" s="2"/>
      <c r="E44" s="2"/>
      <c r="F44" s="2"/>
      <c r="G44" s="2"/>
    </row>
    <row r="45" customFormat="false" ht="15" hidden="false" customHeight="false" outlineLevel="0" collapsed="false">
      <c r="A45" s="96" t="n">
        <v>40969</v>
      </c>
      <c r="B45" s="77" t="n">
        <v>97.1</v>
      </c>
      <c r="C45" s="72" t="n">
        <f aca="false">B45/B33-1</f>
        <v>-0.0480392156862746</v>
      </c>
      <c r="D45" s="2"/>
      <c r="E45" s="2"/>
      <c r="F45" s="2"/>
      <c r="G45" s="2"/>
    </row>
    <row r="46" customFormat="false" ht="15" hidden="false" customHeight="false" outlineLevel="0" collapsed="false">
      <c r="A46" s="96" t="n">
        <v>41000</v>
      </c>
      <c r="B46" s="77" t="n">
        <v>97.7</v>
      </c>
      <c r="C46" s="72" t="n">
        <f aca="false">B46/B34-1</f>
        <v>-0.0486854917234664</v>
      </c>
      <c r="D46" s="2"/>
      <c r="E46" s="2"/>
      <c r="F46" s="2"/>
      <c r="G46" s="2"/>
    </row>
    <row r="47" customFormat="false" ht="15" hidden="false" customHeight="false" outlineLevel="0" collapsed="false">
      <c r="A47" s="96" t="n">
        <v>41030</v>
      </c>
      <c r="B47" s="77" t="n">
        <v>97.7</v>
      </c>
      <c r="C47" s="72" t="n">
        <f aca="false">B47/B35-1</f>
        <v>-0.0486854917234664</v>
      </c>
      <c r="D47" s="2"/>
      <c r="E47" s="2"/>
      <c r="F47" s="2"/>
      <c r="G47" s="2"/>
    </row>
    <row r="48" customFormat="false" ht="15" hidden="false" customHeight="false" outlineLevel="0" collapsed="false">
      <c r="A48" s="96" t="n">
        <v>41061</v>
      </c>
      <c r="B48" s="77" t="n">
        <v>97.3</v>
      </c>
      <c r="C48" s="72" t="n">
        <f aca="false">B48/B36-1</f>
        <v>-0.0617164898746384</v>
      </c>
      <c r="D48" s="2"/>
      <c r="E48" s="2"/>
      <c r="F48" s="2"/>
      <c r="G48" s="2"/>
    </row>
    <row r="49" customFormat="false" ht="15" hidden="false" customHeight="false" outlineLevel="0" collapsed="false">
      <c r="A49" s="96" t="n">
        <v>41091</v>
      </c>
      <c r="B49" s="77" t="n">
        <v>97.2</v>
      </c>
      <c r="C49" s="72" t="n">
        <f aca="false">B49/B37-1</f>
        <v>-0.0171890798786654</v>
      </c>
      <c r="D49" s="2"/>
      <c r="E49" s="2"/>
      <c r="F49" s="2"/>
      <c r="G49" s="2"/>
    </row>
    <row r="50" customFormat="false" ht="15" hidden="false" customHeight="false" outlineLevel="0" collapsed="false">
      <c r="A50" s="96" t="n">
        <v>41122</v>
      </c>
      <c r="B50" s="77" t="n">
        <v>97.5</v>
      </c>
      <c r="C50" s="72" t="n">
        <f aca="false">B50/B38-1</f>
        <v>0.015625</v>
      </c>
      <c r="D50" s="2"/>
      <c r="E50" s="2"/>
      <c r="F50" s="2"/>
      <c r="G50" s="2"/>
    </row>
    <row r="51" customFormat="false" ht="15" hidden="false" customHeight="false" outlineLevel="0" collapsed="false">
      <c r="A51" s="96" t="n">
        <v>41153</v>
      </c>
      <c r="B51" s="77" t="n">
        <v>97.2</v>
      </c>
      <c r="C51" s="72" t="n">
        <f aca="false">B51/B39-1</f>
        <v>0.0156739811912225</v>
      </c>
      <c r="D51" s="2"/>
      <c r="E51" s="2"/>
      <c r="F51" s="2"/>
      <c r="G51" s="2"/>
    </row>
    <row r="52" customFormat="false" ht="15" hidden="false" customHeight="false" outlineLevel="0" collapsed="false">
      <c r="A52" s="96" t="n">
        <v>41183</v>
      </c>
      <c r="B52" s="77" t="n">
        <v>95.9</v>
      </c>
      <c r="C52" s="72" t="n">
        <f aca="false">B52/B40-1</f>
        <v>0.034519956850054</v>
      </c>
      <c r="D52" s="2"/>
      <c r="E52" s="2"/>
      <c r="F52" s="2"/>
      <c r="G52" s="2"/>
    </row>
    <row r="53" customFormat="false" ht="15" hidden="false" customHeight="false" outlineLevel="0" collapsed="false">
      <c r="A53" s="96" t="n">
        <v>41214</v>
      </c>
      <c r="B53" s="77" t="n">
        <v>96.1</v>
      </c>
      <c r="C53" s="72" t="n">
        <f aca="false">B53/B41-1</f>
        <v>0.0169312169312168</v>
      </c>
      <c r="D53" s="2"/>
      <c r="E53" s="2"/>
      <c r="F53" s="2"/>
      <c r="G53" s="2"/>
    </row>
    <row r="54" customFormat="false" ht="15" hidden="false" customHeight="false" outlineLevel="0" collapsed="false">
      <c r="A54" s="96" t="n">
        <v>41244</v>
      </c>
      <c r="B54" s="77" t="n">
        <v>96.6</v>
      </c>
      <c r="C54" s="72" t="n">
        <f aca="false">B54/B42-1</f>
        <v>0.0465872156013001</v>
      </c>
      <c r="D54" s="2"/>
      <c r="E54" s="2"/>
      <c r="F54" s="2"/>
      <c r="G54" s="2"/>
    </row>
    <row r="55" customFormat="false" ht="15" hidden="false" customHeight="false" outlineLevel="0" collapsed="false">
      <c r="A55" s="96" t="n">
        <v>41275</v>
      </c>
      <c r="B55" s="77" t="n">
        <v>96.6</v>
      </c>
      <c r="C55" s="72" t="n">
        <f aca="false">B55/B43-1</f>
        <v>0.0454545454545454</v>
      </c>
      <c r="D55" s="2"/>
      <c r="E55" s="2"/>
      <c r="F55" s="2"/>
      <c r="G55" s="2"/>
    </row>
    <row r="56" customFormat="false" ht="15" hidden="false" customHeight="false" outlineLevel="0" collapsed="false">
      <c r="A56" s="96" t="n">
        <v>41306</v>
      </c>
      <c r="B56" s="77" t="n">
        <v>96.3</v>
      </c>
      <c r="C56" s="72" t="n">
        <f aca="false">B56/B44-1</f>
        <v>0.028846153846154</v>
      </c>
      <c r="D56" s="2"/>
      <c r="E56" s="2"/>
      <c r="F56" s="2"/>
      <c r="G56" s="2"/>
    </row>
    <row r="57" customFormat="false" ht="15" hidden="false" customHeight="false" outlineLevel="0" collapsed="false">
      <c r="A57" s="96" t="n">
        <v>41334</v>
      </c>
      <c r="B57" s="77" t="n">
        <v>96.5</v>
      </c>
      <c r="C57" s="72" t="n">
        <f aca="false">B57/B45-1</f>
        <v>-0.00617919670442835</v>
      </c>
      <c r="D57" s="2"/>
      <c r="E57" s="2"/>
      <c r="F57" s="2"/>
      <c r="G57" s="2"/>
    </row>
    <row r="58" customFormat="false" ht="15" hidden="false" customHeight="false" outlineLevel="0" collapsed="false">
      <c r="A58" s="96" t="n">
        <v>41365</v>
      </c>
      <c r="B58" s="77" t="n">
        <v>94.4</v>
      </c>
      <c r="C58" s="72" t="n">
        <f aca="false">B58/B46-1</f>
        <v>-0.0337768679631525</v>
      </c>
      <c r="D58" s="2"/>
      <c r="E58" s="2"/>
      <c r="F58" s="2"/>
      <c r="G58" s="2"/>
    </row>
    <row r="59" customFormat="false" ht="15" hidden="false" customHeight="false" outlineLevel="0" collapsed="false">
      <c r="A59" s="96" t="n">
        <v>41395</v>
      </c>
      <c r="B59" s="77" t="n">
        <v>96</v>
      </c>
      <c r="C59" s="72" t="n">
        <f aca="false">B59/B47-1</f>
        <v>-0.0174002047082907</v>
      </c>
      <c r="D59" s="2"/>
      <c r="E59" s="2"/>
      <c r="F59" s="2"/>
      <c r="G59" s="2"/>
    </row>
    <row r="60" customFormat="false" ht="15" hidden="false" customHeight="false" outlineLevel="0" collapsed="false">
      <c r="A60" s="96" t="n">
        <v>41426</v>
      </c>
      <c r="B60" s="77" t="n">
        <v>95.4</v>
      </c>
      <c r="C60" s="72" t="n">
        <f aca="false">B60/B48-1</f>
        <v>-0.0195272353545733</v>
      </c>
      <c r="D60" s="2"/>
      <c r="E60" s="2"/>
      <c r="F60" s="2"/>
      <c r="G60" s="2"/>
    </row>
    <row r="61" customFormat="false" ht="15" hidden="false" customHeight="false" outlineLevel="0" collapsed="false">
      <c r="A61" s="96" t="n">
        <v>41456</v>
      </c>
      <c r="B61" s="77" t="n">
        <v>95.9</v>
      </c>
      <c r="C61" s="72" t="n">
        <f aca="false">B61/B49-1</f>
        <v>-0.0133744855967078</v>
      </c>
      <c r="D61" s="2"/>
      <c r="E61" s="2"/>
      <c r="F61" s="2"/>
      <c r="G61" s="2"/>
    </row>
    <row r="62" customFormat="false" ht="15" hidden="false" customHeight="false" outlineLevel="0" collapsed="false">
      <c r="A62" s="96" t="n">
        <v>41487</v>
      </c>
      <c r="B62" s="77" t="n">
        <v>95.9</v>
      </c>
      <c r="C62" s="72" t="n">
        <f aca="false">B62/B50-1</f>
        <v>-0.0164102564102564</v>
      </c>
      <c r="D62" s="2"/>
      <c r="E62" s="2"/>
      <c r="F62" s="2"/>
      <c r="G62" s="2"/>
    </row>
    <row r="63" customFormat="false" ht="15" hidden="false" customHeight="false" outlineLevel="0" collapsed="false">
      <c r="A63" s="96" t="n">
        <v>41518</v>
      </c>
      <c r="B63" s="77" t="n">
        <v>96.3</v>
      </c>
      <c r="C63" s="72" t="n">
        <f aca="false">B63/B51-1</f>
        <v>-0.0092592592592593</v>
      </c>
      <c r="D63" s="2"/>
      <c r="E63" s="2"/>
      <c r="F63" s="2"/>
      <c r="G63" s="2"/>
    </row>
    <row r="64" customFormat="false" ht="15" hidden="false" customHeight="false" outlineLevel="0" collapsed="false">
      <c r="A64" s="96" t="n">
        <v>41548</v>
      </c>
      <c r="B64" s="77" t="n">
        <v>96.2</v>
      </c>
      <c r="C64" s="72" t="n">
        <f aca="false">B64/B52-1</f>
        <v>0.00312825860271104</v>
      </c>
      <c r="D64" s="2"/>
      <c r="E64" s="2"/>
      <c r="F64" s="2"/>
      <c r="G64" s="2"/>
    </row>
    <row r="65" customFormat="false" ht="15" hidden="false" customHeight="false" outlineLevel="0" collapsed="false">
      <c r="A65" s="96" t="n">
        <v>41579</v>
      </c>
      <c r="B65" s="77" t="n">
        <v>95.4</v>
      </c>
      <c r="C65" s="72" t="n">
        <f aca="false">B65/B53-1</f>
        <v>-0.00728407908428708</v>
      </c>
      <c r="D65" s="2"/>
      <c r="E65" s="2"/>
      <c r="F65" s="2"/>
      <c r="G65" s="2"/>
    </row>
    <row r="66" customFormat="false" ht="15" hidden="false" customHeight="false" outlineLevel="0" collapsed="false">
      <c r="A66" s="96" t="n">
        <v>41609</v>
      </c>
      <c r="B66" s="77" t="n">
        <v>99.5</v>
      </c>
      <c r="C66" s="72" t="n">
        <f aca="false">B66/B54-1</f>
        <v>0.0300207039337475</v>
      </c>
      <c r="D66" s="2"/>
      <c r="E66" s="2"/>
      <c r="F66" s="2"/>
      <c r="G66" s="2"/>
    </row>
    <row r="67" customFormat="false" ht="15" hidden="false" customHeight="false" outlineLevel="0" collapsed="false">
      <c r="A67" s="96" t="n">
        <v>41640</v>
      </c>
      <c r="B67" s="77" t="n">
        <v>101.6</v>
      </c>
      <c r="C67" s="72" t="n">
        <f aca="false">B67/B55-1</f>
        <v>0.0517598343685299</v>
      </c>
      <c r="D67" s="2"/>
      <c r="E67" s="2"/>
      <c r="F67" s="2"/>
      <c r="G67" s="2"/>
    </row>
    <row r="68" customFormat="false" ht="15" hidden="false" customHeight="false" outlineLevel="0" collapsed="false">
      <c r="A68" s="96" t="n">
        <v>41671</v>
      </c>
      <c r="B68" s="77" t="n">
        <v>101.3</v>
      </c>
      <c r="C68" s="72" t="n">
        <f aca="false">B68/B56-1</f>
        <v>0.0519210799584631</v>
      </c>
      <c r="D68" s="2"/>
      <c r="E68" s="2"/>
      <c r="F68" s="2"/>
      <c r="G68" s="2"/>
    </row>
    <row r="69" customFormat="false" ht="15" hidden="false" customHeight="false" outlineLevel="0" collapsed="false">
      <c r="A69" s="96" t="n">
        <v>41699</v>
      </c>
      <c r="B69" s="77" t="n">
        <v>101.2</v>
      </c>
      <c r="C69" s="72" t="n">
        <f aca="false">B69/B57-1</f>
        <v>0.0487046632124353</v>
      </c>
      <c r="D69" s="2"/>
      <c r="E69" s="2"/>
      <c r="F69" s="2"/>
      <c r="G69" s="2"/>
    </row>
    <row r="70" customFormat="false" ht="15" hidden="false" customHeight="false" outlineLevel="0" collapsed="false">
      <c r="A70" s="96" t="n">
        <v>41730</v>
      </c>
      <c r="B70" s="77" t="n">
        <v>101.7</v>
      </c>
      <c r="C70" s="72" t="n">
        <f aca="false">B70/B58-1</f>
        <v>0.0773305084745763</v>
      </c>
      <c r="D70" s="2"/>
      <c r="E70" s="2"/>
      <c r="F70" s="2"/>
      <c r="G70" s="2"/>
    </row>
    <row r="71" customFormat="false" ht="15" hidden="false" customHeight="false" outlineLevel="0" collapsed="false">
      <c r="A71" s="96" t="n">
        <v>41760</v>
      </c>
      <c r="B71" s="77" t="n">
        <v>102</v>
      </c>
      <c r="C71" s="72" t="n">
        <f aca="false">B71/B59-1</f>
        <v>0.0625</v>
      </c>
      <c r="D71" s="2"/>
      <c r="E71" s="2"/>
      <c r="F71" s="2"/>
      <c r="G71" s="2"/>
    </row>
    <row r="72" customFormat="false" ht="15" hidden="false" customHeight="false" outlineLevel="0" collapsed="false">
      <c r="A72" s="96" t="n">
        <v>41791</v>
      </c>
      <c r="B72" s="77" t="n">
        <v>102.3</v>
      </c>
      <c r="C72" s="72" t="n">
        <f aca="false">B72/B60-1</f>
        <v>0.0723270440251571</v>
      </c>
      <c r="D72" s="2"/>
      <c r="E72" s="2"/>
      <c r="F72" s="2"/>
      <c r="G72" s="2"/>
    </row>
    <row r="73" customFormat="false" ht="15" hidden="false" customHeight="false" outlineLevel="0" collapsed="false">
      <c r="A73" s="96" t="n">
        <v>41821</v>
      </c>
      <c r="B73" s="77" t="n">
        <v>101.4</v>
      </c>
      <c r="C73" s="72" t="n">
        <f aca="false">B73/B61-1</f>
        <v>0.0573514077163713</v>
      </c>
      <c r="D73" s="2"/>
      <c r="E73" s="2"/>
      <c r="F73" s="2"/>
      <c r="G73" s="2"/>
    </row>
    <row r="74" customFormat="false" ht="15" hidden="false" customHeight="false" outlineLevel="0" collapsed="false">
      <c r="A74" s="96" t="n">
        <v>41852</v>
      </c>
      <c r="B74" s="77" t="n">
        <v>101.4</v>
      </c>
      <c r="C74" s="72" t="n">
        <f aca="false">B74/B62-1</f>
        <v>0.0573514077163713</v>
      </c>
      <c r="D74" s="2"/>
      <c r="E74" s="2"/>
      <c r="F74" s="2"/>
      <c r="G74" s="2"/>
    </row>
    <row r="75" customFormat="false" ht="15" hidden="false" customHeight="false" outlineLevel="0" collapsed="false">
      <c r="A75" s="96" t="n">
        <v>41883</v>
      </c>
      <c r="B75" s="77" t="n">
        <v>101.3</v>
      </c>
      <c r="C75" s="72" t="n">
        <f aca="false">B75/B63-1</f>
        <v>0.0519210799584631</v>
      </c>
      <c r="D75" s="2"/>
      <c r="E75" s="2"/>
      <c r="F75" s="2"/>
      <c r="G75" s="2"/>
    </row>
    <row r="76" customFormat="false" ht="15" hidden="false" customHeight="false" outlineLevel="0" collapsed="false">
      <c r="A76" s="96" t="n">
        <v>41913</v>
      </c>
      <c r="B76" s="77" t="n">
        <v>101</v>
      </c>
      <c r="C76" s="72" t="n">
        <f aca="false">B76/B64-1</f>
        <v>0.0498960498960499</v>
      </c>
      <c r="D76" s="2"/>
      <c r="E76" s="2"/>
      <c r="F76" s="2"/>
      <c r="G76" s="2"/>
    </row>
    <row r="77" customFormat="false" ht="15" hidden="false" customHeight="false" outlineLevel="0" collapsed="false">
      <c r="A77" s="96" t="n">
        <v>41944</v>
      </c>
      <c r="B77" s="77" t="n">
        <v>100.8</v>
      </c>
      <c r="C77" s="72" t="n">
        <f aca="false">B77/B65-1</f>
        <v>0.0566037735849057</v>
      </c>
      <c r="D77" s="2"/>
      <c r="E77" s="2"/>
      <c r="F77" s="2"/>
      <c r="G77" s="2"/>
    </row>
    <row r="78" customFormat="false" ht="15" hidden="false" customHeight="false" outlineLevel="0" collapsed="false">
      <c r="A78" s="96" t="n">
        <v>41974</v>
      </c>
      <c r="B78" s="77" t="n">
        <v>100.8</v>
      </c>
      <c r="C78" s="72" t="n">
        <f aca="false">B78/B66-1</f>
        <v>0.0130653266331657</v>
      </c>
      <c r="D78" s="2"/>
      <c r="E78" s="2"/>
      <c r="F78" s="2"/>
      <c r="G78" s="2"/>
    </row>
    <row r="79" customFormat="false" ht="15" hidden="false" customHeight="false" outlineLevel="0" collapsed="false">
      <c r="A79" s="96" t="n">
        <v>42005</v>
      </c>
      <c r="B79" s="77" t="n">
        <v>100.4</v>
      </c>
      <c r="C79" s="72" t="n">
        <f aca="false">B79/B67-1</f>
        <v>-0.0118110236220471</v>
      </c>
      <c r="D79" s="2"/>
      <c r="E79" s="2"/>
      <c r="F79" s="2"/>
      <c r="G79" s="2"/>
    </row>
    <row r="80" customFormat="false" ht="15" hidden="false" customHeight="false" outlineLevel="0" collapsed="false">
      <c r="A80" s="96" t="n">
        <v>42036</v>
      </c>
      <c r="B80" s="77" t="n">
        <v>103.2</v>
      </c>
      <c r="C80" s="72" t="n">
        <f aca="false">B80/B68-1</f>
        <v>0.018756169792695</v>
      </c>
      <c r="D80" s="2"/>
      <c r="E80" s="2"/>
      <c r="F80" s="2"/>
      <c r="G80" s="2"/>
    </row>
    <row r="81" customFormat="false" ht="15" hidden="false" customHeight="false" outlineLevel="0" collapsed="false">
      <c r="A81" s="96" t="n">
        <v>42064</v>
      </c>
      <c r="B81" s="77" t="n">
        <v>103.5</v>
      </c>
      <c r="C81" s="72" t="n">
        <f aca="false">B81/B69-1</f>
        <v>0.0227272727272727</v>
      </c>
      <c r="D81" s="2"/>
      <c r="E81" s="2"/>
      <c r="F81" s="2"/>
      <c r="G81" s="2"/>
    </row>
    <row r="82" customFormat="false" ht="15" hidden="false" customHeight="false" outlineLevel="0" collapsed="false">
      <c r="A82" s="96" t="n">
        <v>42095</v>
      </c>
      <c r="B82" s="77" t="n">
        <v>103.9</v>
      </c>
      <c r="C82" s="72" t="n">
        <f aca="false">B82/B70-1</f>
        <v>0.0216322517207472</v>
      </c>
      <c r="D82" s="2"/>
      <c r="E82" s="2"/>
      <c r="F82" s="2"/>
      <c r="G82" s="2"/>
    </row>
    <row r="83" customFormat="false" ht="15" hidden="false" customHeight="false" outlineLevel="0" collapsed="false">
      <c r="A83" s="96" t="n">
        <v>42125</v>
      </c>
      <c r="B83" s="77" t="n">
        <v>103.8</v>
      </c>
      <c r="C83" s="72" t="n">
        <f aca="false">B83/B71-1</f>
        <v>0.0176470588235294</v>
      </c>
      <c r="D83" s="2"/>
      <c r="E83" s="2"/>
      <c r="F83" s="2"/>
      <c r="G83" s="2"/>
    </row>
    <row r="84" customFormat="false" ht="15" hidden="false" customHeight="false" outlineLevel="0" collapsed="false">
      <c r="A84" s="96" t="n">
        <v>42156</v>
      </c>
      <c r="B84" s="77" t="n">
        <v>101.6</v>
      </c>
      <c r="C84" s="72" t="n">
        <f aca="false">B84/B72-1</f>
        <v>-0.00684261974584555</v>
      </c>
      <c r="D84" s="2"/>
      <c r="E84" s="2"/>
      <c r="F84" s="2"/>
      <c r="G84" s="2"/>
    </row>
    <row r="85" customFormat="false" ht="15" hidden="false" customHeight="false" outlineLevel="0" collapsed="false">
      <c r="A85" s="96" t="n">
        <v>42186</v>
      </c>
      <c r="B85" s="77" t="n">
        <v>100</v>
      </c>
      <c r="C85" s="72" t="n">
        <f aca="false">B85/B73-1</f>
        <v>-0.0138067061143985</v>
      </c>
      <c r="D85" s="2"/>
      <c r="E85" s="2"/>
      <c r="F85" s="2"/>
      <c r="G85" s="2"/>
    </row>
    <row r="86" customFormat="false" ht="15" hidden="false" customHeight="false" outlineLevel="0" collapsed="false">
      <c r="A86" s="96" t="n">
        <v>42217</v>
      </c>
      <c r="B86" s="77" t="n">
        <v>99.5</v>
      </c>
      <c r="C86" s="72" t="n">
        <f aca="false">B86/B74-1</f>
        <v>-0.0187376725838265</v>
      </c>
      <c r="D86" s="2"/>
      <c r="E86" s="2"/>
      <c r="F86" s="2"/>
      <c r="G86" s="2"/>
    </row>
    <row r="87" customFormat="false" ht="15" hidden="false" customHeight="false" outlineLevel="0" collapsed="false">
      <c r="A87" s="96" t="n">
        <v>42248</v>
      </c>
      <c r="B87" s="77" t="n">
        <v>97.5</v>
      </c>
      <c r="C87" s="72" t="n">
        <f aca="false">B87/B75-1</f>
        <v>-0.0375123395853899</v>
      </c>
      <c r="D87" s="2"/>
      <c r="E87" s="2"/>
      <c r="F87" s="2"/>
      <c r="G87" s="2"/>
    </row>
    <row r="88" customFormat="false" ht="15" hidden="false" customHeight="false" outlineLevel="0" collapsed="false">
      <c r="A88" s="96" t="n">
        <v>42278</v>
      </c>
      <c r="B88" s="77" t="n">
        <v>97.5</v>
      </c>
      <c r="C88" s="72" t="n">
        <f aca="false">B88/B76-1</f>
        <v>-0.0346534653465347</v>
      </c>
      <c r="D88" s="2"/>
      <c r="E88" s="2"/>
      <c r="F88" s="2"/>
      <c r="G88" s="2"/>
    </row>
    <row r="89" customFormat="false" ht="15" hidden="false" customHeight="false" outlineLevel="0" collapsed="false">
      <c r="A89" s="96" t="n">
        <v>42309</v>
      </c>
      <c r="B89" s="77" t="n">
        <v>96.2</v>
      </c>
      <c r="C89" s="72" t="n">
        <f aca="false">B89/B77-1</f>
        <v>-0.0456349206349206</v>
      </c>
      <c r="D89" s="2"/>
      <c r="E89" s="2"/>
      <c r="F89" s="2"/>
      <c r="G89" s="2"/>
    </row>
    <row r="90" customFormat="false" ht="15" hidden="false" customHeight="false" outlineLevel="0" collapsed="false">
      <c r="A90" s="96" t="n">
        <v>42339</v>
      </c>
      <c r="B90" s="77" t="n">
        <v>93.6</v>
      </c>
      <c r="C90" s="72" t="n">
        <f aca="false">B90/B78-1</f>
        <v>-0.0714285714285715</v>
      </c>
      <c r="D90" s="2"/>
      <c r="E90" s="2"/>
      <c r="F90" s="2"/>
      <c r="G90" s="2"/>
    </row>
    <row r="91" customFormat="false" ht="15" hidden="false" customHeight="false" outlineLevel="0" collapsed="false">
      <c r="A91" s="96" t="n">
        <v>42370</v>
      </c>
      <c r="B91" s="77" t="n">
        <v>92.6</v>
      </c>
      <c r="C91" s="72" t="n">
        <f aca="false">B91/B79-1</f>
        <v>-0.0776892430278886</v>
      </c>
      <c r="D91" s="2"/>
      <c r="E91" s="2"/>
      <c r="F91" s="2"/>
      <c r="G91" s="2"/>
    </row>
    <row r="92" customFormat="false" ht="15" hidden="false" customHeight="false" outlineLevel="0" collapsed="false">
      <c r="A92" s="96" t="n">
        <v>42401</v>
      </c>
      <c r="B92" s="77" t="n">
        <v>91.1</v>
      </c>
      <c r="C92" s="72" t="n">
        <f aca="false">B92/B80-1</f>
        <v>-0.117248062015504</v>
      </c>
      <c r="D92" s="2"/>
      <c r="E92" s="2"/>
      <c r="F92" s="2"/>
      <c r="G92" s="2"/>
    </row>
    <row r="93" customFormat="false" ht="15" hidden="false" customHeight="false" outlineLevel="0" collapsed="false">
      <c r="A93" s="96" t="n">
        <v>42430</v>
      </c>
      <c r="B93" s="77" t="n">
        <v>91.9</v>
      </c>
      <c r="C93" s="72" t="n">
        <f aca="false">B93/B81-1</f>
        <v>-0.11207729468599</v>
      </c>
      <c r="D93" s="2"/>
      <c r="E93" s="2"/>
      <c r="F93" s="2"/>
      <c r="G93" s="2"/>
    </row>
    <row r="94" customFormat="false" ht="15" hidden="false" customHeight="false" outlineLevel="0" collapsed="false">
      <c r="A94" s="96" t="n">
        <v>42461</v>
      </c>
      <c r="B94" s="77" t="n">
        <v>91.4</v>
      </c>
      <c r="C94" s="72" t="n">
        <f aca="false">B94/B82-1</f>
        <v>-0.120307988450433</v>
      </c>
      <c r="D94" s="2"/>
      <c r="E94" s="2"/>
      <c r="F94" s="2"/>
      <c r="G94" s="2"/>
    </row>
    <row r="95" customFormat="false" ht="15" hidden="false" customHeight="false" outlineLevel="0" collapsed="false">
      <c r="A95" s="96" t="n">
        <v>42491</v>
      </c>
      <c r="B95" s="77" t="n">
        <v>91.7</v>
      </c>
      <c r="C95" s="72" t="n">
        <f aca="false">B95/B83-1</f>
        <v>-0.116570327552986</v>
      </c>
      <c r="D95" s="2"/>
      <c r="E95" s="2"/>
      <c r="F95" s="2"/>
      <c r="G95" s="2"/>
    </row>
    <row r="96" customFormat="false" ht="15" hidden="false" customHeight="false" outlineLevel="0" collapsed="false">
      <c r="A96" s="96" t="n">
        <v>42522</v>
      </c>
      <c r="B96" s="77" t="n">
        <v>92.3</v>
      </c>
      <c r="C96" s="72" t="n">
        <f aca="false">B96/B84-1</f>
        <v>-0.0915354330708661</v>
      </c>
      <c r="D96" s="2"/>
      <c r="E96" s="2"/>
      <c r="F96" s="2"/>
      <c r="G96" s="2"/>
    </row>
    <row r="97" customFormat="false" ht="15" hidden="false" customHeight="false" outlineLevel="0" collapsed="false">
      <c r="A97" s="96" t="n">
        <v>42552</v>
      </c>
      <c r="B97" s="77" t="n">
        <v>91.4</v>
      </c>
      <c r="C97" s="72" t="n">
        <f aca="false">B97/B85-1</f>
        <v>-0.086</v>
      </c>
      <c r="D97" s="2"/>
      <c r="E97" s="2"/>
      <c r="F97" s="2"/>
      <c r="G97" s="2"/>
    </row>
    <row r="98" customFormat="false" ht="15" hidden="false" customHeight="false" outlineLevel="0" collapsed="false">
      <c r="A98" s="96" t="n">
        <v>42583</v>
      </c>
      <c r="B98" s="77" t="n">
        <v>92.9</v>
      </c>
      <c r="C98" s="72" t="n">
        <f aca="false">B98/B86-1</f>
        <v>-0.0663316582914573</v>
      </c>
      <c r="D98" s="2"/>
      <c r="E98" s="2"/>
      <c r="F98" s="2"/>
      <c r="G98" s="2"/>
    </row>
    <row r="99" customFormat="false" ht="15" hidden="false" customHeight="false" outlineLevel="0" collapsed="false">
      <c r="A99" s="96" t="n">
        <v>42614</v>
      </c>
      <c r="B99" s="77" t="n">
        <v>92.9</v>
      </c>
      <c r="C99" s="72" t="n">
        <f aca="false">B99/B87-1</f>
        <v>-0.0471794871794872</v>
      </c>
      <c r="D99" s="2"/>
      <c r="E99" s="2"/>
      <c r="F99" s="2"/>
      <c r="G99" s="2"/>
    </row>
    <row r="100" customFormat="false" ht="15" hidden="false" customHeight="false" outlineLevel="0" collapsed="false">
      <c r="A100" s="96" t="n">
        <v>42644</v>
      </c>
      <c r="B100" s="77" t="n">
        <v>96.1</v>
      </c>
      <c r="C100" s="72" t="n">
        <f aca="false">B100/B88-1</f>
        <v>-0.0143589743589744</v>
      </c>
      <c r="D100" s="2"/>
      <c r="E100" s="2"/>
      <c r="F100" s="2"/>
      <c r="G100" s="2"/>
    </row>
    <row r="101" customFormat="false" ht="15" hidden="false" customHeight="false" outlineLevel="0" collapsed="false">
      <c r="A101" s="96" t="n">
        <v>42675</v>
      </c>
      <c r="B101" s="77" t="n">
        <v>96.3</v>
      </c>
      <c r="C101" s="72" t="n">
        <f aca="false">B101/B89-1</f>
        <v>0.00103950103950101</v>
      </c>
      <c r="D101" s="2"/>
      <c r="E101" s="2"/>
      <c r="F101" s="2"/>
      <c r="G101" s="2"/>
    </row>
    <row r="102" customFormat="false" ht="15" hidden="false" customHeight="false" outlineLevel="0" collapsed="false">
      <c r="A102" s="96" t="n">
        <v>42705</v>
      </c>
      <c r="B102" s="77" t="n">
        <v>97.5</v>
      </c>
      <c r="C102" s="72" t="n">
        <f aca="false">B102/B90-1</f>
        <v>0.0416666666666667</v>
      </c>
      <c r="D102" s="2"/>
      <c r="E102" s="2"/>
      <c r="F102" s="2"/>
      <c r="G102" s="2"/>
    </row>
    <row r="103" customFormat="false" ht="15" hidden="false" customHeight="false" outlineLevel="0" collapsed="false">
      <c r="A103" s="96" t="n">
        <v>42736</v>
      </c>
      <c r="B103" s="77" t="n">
        <v>98.3</v>
      </c>
      <c r="C103" s="72" t="n">
        <f aca="false">B103/B91-1</f>
        <v>0.0615550755939525</v>
      </c>
      <c r="D103" s="2"/>
      <c r="E103" s="2"/>
      <c r="F103" s="2"/>
      <c r="G103" s="2"/>
    </row>
    <row r="104" customFormat="false" ht="15" hidden="false" customHeight="false" outlineLevel="0" collapsed="false">
      <c r="A104" s="96" t="n">
        <v>42767</v>
      </c>
      <c r="B104" s="77" t="n">
        <v>99.6</v>
      </c>
      <c r="C104" s="72" t="n">
        <f aca="false">B104/B92-1</f>
        <v>0.0933040614709111</v>
      </c>
      <c r="D104" s="2"/>
      <c r="E104" s="2"/>
      <c r="F104" s="2"/>
      <c r="G104" s="2"/>
    </row>
    <row r="105" customFormat="false" ht="15" hidden="false" customHeight="false" outlineLevel="0" collapsed="false">
      <c r="A105" s="96" t="n">
        <v>42795</v>
      </c>
      <c r="B105" s="77" t="n">
        <v>99.1</v>
      </c>
      <c r="C105" s="72" t="n">
        <f aca="false">B105/B93-1</f>
        <v>0.0783460282916213</v>
      </c>
      <c r="D105" s="2"/>
      <c r="E105" s="2"/>
      <c r="F105" s="2"/>
      <c r="G105" s="2"/>
    </row>
    <row r="106" customFormat="false" ht="15" hidden="false" customHeight="false" outlineLevel="0" collapsed="false">
      <c r="A106" s="96" t="n">
        <v>42826</v>
      </c>
      <c r="B106" s="77" t="n">
        <v>100.1</v>
      </c>
      <c r="C106" s="72" t="n">
        <f aca="false">B106/B94-1</f>
        <v>0.0951859956236323</v>
      </c>
      <c r="D106" s="2"/>
      <c r="E106" s="2"/>
      <c r="F106" s="2"/>
      <c r="G106" s="2"/>
    </row>
    <row r="107" customFormat="false" ht="15" hidden="false" customHeight="false" outlineLevel="0" collapsed="false">
      <c r="A107" s="96" t="n">
        <v>42856</v>
      </c>
      <c r="B107" s="77" t="n">
        <v>101.2</v>
      </c>
      <c r="C107" s="72" t="n">
        <f aca="false">B107/B95-1</f>
        <v>0.103598691384951</v>
      </c>
      <c r="D107" s="2"/>
      <c r="E107" s="2"/>
      <c r="F107" s="2"/>
      <c r="G107" s="2"/>
    </row>
    <row r="108" customFormat="false" ht="15" hidden="false" customHeight="false" outlineLevel="0" collapsed="false">
      <c r="A108" s="96" t="n">
        <v>42887</v>
      </c>
      <c r="B108" s="77" t="n">
        <v>101.1</v>
      </c>
      <c r="C108" s="72" t="n">
        <f aca="false">B108/B96-1</f>
        <v>0.09534127843987</v>
      </c>
      <c r="D108" s="2"/>
      <c r="E108" s="2"/>
      <c r="F108" s="2"/>
      <c r="G108" s="2"/>
    </row>
    <row r="109" customFormat="false" ht="15" hidden="false" customHeight="false" outlineLevel="0" collapsed="false">
      <c r="A109" s="96" t="n">
        <v>42917</v>
      </c>
      <c r="B109" s="77" t="n">
        <v>101.9</v>
      </c>
      <c r="C109" s="72" t="n">
        <f aca="false">B109/B97-1</f>
        <v>0.114879649890591</v>
      </c>
      <c r="D109" s="2"/>
      <c r="E109" s="2"/>
      <c r="F109" s="2"/>
      <c r="G109" s="2"/>
    </row>
    <row r="110" customFormat="false" ht="15" hidden="false" customHeight="false" outlineLevel="0" collapsed="false">
      <c r="A110" s="96" t="n">
        <v>42948</v>
      </c>
      <c r="B110" s="77" t="n">
        <v>102</v>
      </c>
      <c r="C110" s="72" t="n">
        <f aca="false">B110/B98-1</f>
        <v>0.0979547900968782</v>
      </c>
      <c r="D110" s="2"/>
      <c r="E110" s="2"/>
      <c r="F110" s="2"/>
      <c r="G110" s="2"/>
    </row>
    <row r="111" customFormat="false" ht="15" hidden="false" customHeight="false" outlineLevel="0" collapsed="false">
      <c r="A111" s="96" t="n">
        <v>42979</v>
      </c>
      <c r="B111" s="77" t="n">
        <v>102.1</v>
      </c>
      <c r="C111" s="72" t="n">
        <f aca="false">B111/B99-1</f>
        <v>0.0990312163616791</v>
      </c>
      <c r="D111" s="2"/>
      <c r="E111" s="2"/>
      <c r="F111" s="2"/>
      <c r="G111" s="2"/>
    </row>
    <row r="112" customFormat="false" ht="15" hidden="false" customHeight="false" outlineLevel="0" collapsed="false">
      <c r="A112" s="96" t="n">
        <v>43009</v>
      </c>
      <c r="B112" s="77" t="n">
        <v>101.5</v>
      </c>
      <c r="C112" s="72" t="n">
        <f aca="false">B112/B100-1</f>
        <v>0.0561914672216441</v>
      </c>
      <c r="D112" s="2"/>
      <c r="E112" s="2"/>
      <c r="F112" s="2"/>
      <c r="G112" s="2"/>
    </row>
    <row r="113" customFormat="false" ht="15" hidden="false" customHeight="false" outlineLevel="0" collapsed="false">
      <c r="A113" s="96" t="n">
        <v>43040</v>
      </c>
      <c r="B113" s="77" t="n">
        <v>105.1</v>
      </c>
      <c r="C113" s="72" t="n">
        <f aca="false">B113/B101-1</f>
        <v>0.0913811007268952</v>
      </c>
      <c r="D113" s="2"/>
      <c r="E113" s="2"/>
      <c r="F113" s="2"/>
      <c r="G113" s="2"/>
    </row>
    <row r="114" customFormat="false" ht="15" hidden="false" customHeight="false" outlineLevel="0" collapsed="false">
      <c r="A114" s="96" t="n">
        <v>43070</v>
      </c>
      <c r="B114" s="77" t="n">
        <v>104.5</v>
      </c>
      <c r="C114" s="72" t="n">
        <f aca="false">B114/B102-1</f>
        <v>0.0717948717948718</v>
      </c>
      <c r="D114" s="2"/>
      <c r="E114" s="2"/>
      <c r="F114" s="2"/>
      <c r="G114" s="2"/>
    </row>
    <row r="115" customFormat="false" ht="15" hidden="false" customHeight="false" outlineLevel="0" collapsed="false">
      <c r="A115" s="96" t="n">
        <v>43101</v>
      </c>
      <c r="B115" s="77" t="n">
        <v>106.1</v>
      </c>
      <c r="C115" s="72" t="n">
        <f aca="false">B115/B103-1</f>
        <v>0.0793489318413021</v>
      </c>
      <c r="D115" s="2"/>
      <c r="E115" s="2"/>
      <c r="F115" s="2"/>
      <c r="G115" s="2"/>
    </row>
    <row r="116" customFormat="false" ht="15" hidden="false" customHeight="false" outlineLevel="0" collapsed="false">
      <c r="A116" s="96" t="n">
        <v>43132</v>
      </c>
      <c r="B116" s="77" t="n">
        <v>106.3</v>
      </c>
      <c r="C116" s="72" t="n">
        <f aca="false">B116/B104-1</f>
        <v>0.0672690763052208</v>
      </c>
      <c r="D116" s="2"/>
      <c r="E116" s="2"/>
      <c r="F116" s="2"/>
      <c r="G116" s="2"/>
    </row>
    <row r="117" customFormat="false" ht="15" hidden="false" customHeight="false" outlineLevel="0" collapsed="false">
      <c r="A117" s="96" t="n">
        <v>43160</v>
      </c>
      <c r="B117" s="77" t="n">
        <v>106.3</v>
      </c>
      <c r="C117" s="72" t="n">
        <f aca="false">B117/B105-1</f>
        <v>0.0726538849646823</v>
      </c>
      <c r="D117" s="2"/>
      <c r="E117" s="2"/>
      <c r="F117" s="2"/>
      <c r="G117" s="2"/>
    </row>
    <row r="118" customFormat="false" ht="15" hidden="false" customHeight="false" outlineLevel="0" collapsed="false">
      <c r="A118" s="96" t="n">
        <v>43191</v>
      </c>
      <c r="B118" s="77" t="n">
        <v>107.4</v>
      </c>
      <c r="C118" s="72" t="n">
        <f aca="false">B118/B106-1</f>
        <v>0.072927072927073</v>
      </c>
      <c r="D118" s="2"/>
      <c r="E118" s="2"/>
      <c r="F118" s="2"/>
      <c r="G118" s="2"/>
    </row>
    <row r="119" customFormat="false" ht="15" hidden="false" customHeight="false" outlineLevel="0" collapsed="false">
      <c r="A119" s="96" t="n">
        <v>43221</v>
      </c>
      <c r="B119" s="77" t="n">
        <v>110.6</v>
      </c>
      <c r="C119" s="72" t="n">
        <f aca="false">B119/B107-1</f>
        <v>0.0928853754940711</v>
      </c>
      <c r="D119" s="2"/>
      <c r="E119" s="2"/>
      <c r="F119" s="2"/>
      <c r="G119" s="2"/>
    </row>
    <row r="120" customFormat="false" ht="15" hidden="false" customHeight="false" outlineLevel="0" collapsed="false">
      <c r="A120" s="96" t="n">
        <v>43252</v>
      </c>
      <c r="B120" s="77" t="n">
        <v>113.4</v>
      </c>
      <c r="C120" s="72" t="n">
        <f aca="false">B120/B108-1</f>
        <v>0.121661721068249</v>
      </c>
      <c r="D120" s="2"/>
      <c r="E120" s="2"/>
      <c r="F120" s="2"/>
      <c r="G120" s="2"/>
    </row>
    <row r="121" customFormat="false" ht="15" hidden="false" customHeight="false" outlineLevel="0" collapsed="false">
      <c r="A121" s="96" t="n">
        <v>43282</v>
      </c>
      <c r="B121" s="77" t="n">
        <v>116</v>
      </c>
      <c r="C121" s="72" t="n">
        <f aca="false">B121/B109-1</f>
        <v>0.138370951913641</v>
      </c>
      <c r="D121" s="2"/>
      <c r="E121" s="2"/>
      <c r="F121" s="2"/>
      <c r="G121" s="2"/>
    </row>
    <row r="122" customFormat="false" ht="15" hidden="false" customHeight="false" outlineLevel="0" collapsed="false">
      <c r="A122" s="96" t="n">
        <v>43313</v>
      </c>
      <c r="B122" s="77" t="n">
        <v>115.9</v>
      </c>
      <c r="C122" s="72" t="n">
        <f aca="false">B122/B110-1</f>
        <v>0.136274509803922</v>
      </c>
      <c r="D122" s="2"/>
      <c r="E122" s="2"/>
      <c r="F122" s="2"/>
      <c r="G122" s="2"/>
    </row>
    <row r="123" customFormat="false" ht="15" hidden="false" customHeight="false" outlineLevel="0" collapsed="false">
      <c r="A123" s="96" t="n">
        <v>43344</v>
      </c>
      <c r="B123" s="77" t="n">
        <v>116.1</v>
      </c>
      <c r="C123" s="72" t="n">
        <f aca="false">B123/B111-1</f>
        <v>0.137120470127326</v>
      </c>
      <c r="D123" s="2"/>
      <c r="E123" s="2"/>
      <c r="F123" s="2"/>
      <c r="G123" s="2"/>
    </row>
    <row r="124" customFormat="false" ht="15" hidden="false" customHeight="false" outlineLevel="0" collapsed="false">
      <c r="A124" s="96" t="n">
        <v>43374</v>
      </c>
      <c r="B124" s="77" t="n">
        <v>117.4</v>
      </c>
      <c r="C124" s="72" t="n">
        <f aca="false">B124/B112-1</f>
        <v>0.156650246305419</v>
      </c>
      <c r="D124" s="2"/>
      <c r="E124" s="2"/>
      <c r="F124" s="2"/>
      <c r="G124" s="2"/>
    </row>
    <row r="125" customFormat="false" ht="15" hidden="false" customHeight="false" outlineLevel="0" collapsed="false">
      <c r="A125" s="96" t="n">
        <v>43405</v>
      </c>
      <c r="B125" s="77" t="n">
        <v>117.7</v>
      </c>
      <c r="C125" s="72" t="n">
        <f aca="false">B125/B113-1</f>
        <v>0.11988582302569</v>
      </c>
      <c r="D125" s="2"/>
      <c r="E125" s="2"/>
      <c r="F125" s="2"/>
      <c r="G125" s="2"/>
    </row>
    <row r="126" customFormat="false" ht="15" hidden="false" customHeight="false" outlineLevel="0" collapsed="false">
      <c r="A126" s="96" t="n">
        <v>43435</v>
      </c>
      <c r="B126" s="77" t="n">
        <v>117.4</v>
      </c>
      <c r="C126" s="72" t="n">
        <f aca="false">B126/B114-1</f>
        <v>0.123444976076555</v>
      </c>
      <c r="D126" s="2"/>
      <c r="E126" s="2"/>
      <c r="F126" s="2"/>
      <c r="G126" s="2"/>
    </row>
    <row r="127" customFormat="false" ht="15" hidden="false" customHeight="false" outlineLevel="0" collapsed="false">
      <c r="A127" s="96" t="n">
        <v>43466</v>
      </c>
      <c r="B127" s="77" t="n">
        <v>118.5</v>
      </c>
      <c r="C127" s="72" t="n">
        <f aca="false">B127/B115-1</f>
        <v>0.116870876531574</v>
      </c>
      <c r="D127" s="2"/>
      <c r="E127" s="2"/>
      <c r="F127" s="2"/>
      <c r="G127" s="2"/>
    </row>
    <row r="128" customFormat="false" ht="15" hidden="false" customHeight="false" outlineLevel="0" collapsed="false">
      <c r="A128" s="96" t="n">
        <v>43497</v>
      </c>
      <c r="B128" s="77" t="n">
        <v>118.2</v>
      </c>
      <c r="C128" s="72" t="n">
        <f aca="false">B128/B116-1</f>
        <v>0.111947318908749</v>
      </c>
      <c r="D128" s="2"/>
      <c r="E128" s="2"/>
      <c r="F128" s="2"/>
      <c r="G128" s="2"/>
    </row>
    <row r="129" customFormat="false" ht="15" hidden="false" customHeight="false" outlineLevel="0" collapsed="false">
      <c r="A129" s="96" t="n">
        <v>43525</v>
      </c>
      <c r="B129" s="77" t="n">
        <v>118.9</v>
      </c>
      <c r="C129" s="72" t="n">
        <f aca="false">B129/B117-1</f>
        <v>0.118532455315146</v>
      </c>
      <c r="D129" s="2"/>
      <c r="E129" s="2"/>
      <c r="F129" s="2"/>
      <c r="G129" s="2"/>
    </row>
    <row r="130" customFormat="false" ht="15" hidden="false" customHeight="false" outlineLevel="0" collapsed="false">
      <c r="A130" s="96" t="n">
        <v>43556</v>
      </c>
      <c r="B130" s="77" t="n">
        <v>119.3</v>
      </c>
      <c r="C130" s="72" t="n">
        <f aca="false">B130/B118-1</f>
        <v>0.110800744878957</v>
      </c>
      <c r="D130" s="2"/>
      <c r="E130" s="2"/>
      <c r="F130" s="2"/>
      <c r="G130" s="2"/>
    </row>
    <row r="131" customFormat="false" ht="15" hidden="false" customHeight="false" outlineLevel="0" collapsed="false">
      <c r="A131" s="96" t="n">
        <v>43586</v>
      </c>
      <c r="B131" s="77" t="n">
        <v>119.6</v>
      </c>
      <c r="C131" s="72" t="n">
        <f aca="false">B131/B119-1</f>
        <v>0.0813743218806511</v>
      </c>
      <c r="D131" s="2"/>
      <c r="E131" s="2"/>
      <c r="F131" s="2"/>
      <c r="G131" s="2"/>
    </row>
    <row r="132" customFormat="false" ht="15" hidden="false" customHeight="false" outlineLevel="0" collapsed="false">
      <c r="A132" s="96" t="n">
        <v>43617</v>
      </c>
      <c r="B132" s="77" t="n">
        <v>119.3</v>
      </c>
      <c r="C132" s="72" t="n">
        <f aca="false">B132/B120-1</f>
        <v>0.0520282186948853</v>
      </c>
      <c r="D132" s="2"/>
      <c r="E132" s="2"/>
      <c r="F132" s="2"/>
      <c r="G132" s="2"/>
    </row>
    <row r="133" customFormat="false" ht="15" hidden="false" customHeight="false" outlineLevel="0" collapsed="false">
      <c r="A133" s="96" t="n">
        <v>43647</v>
      </c>
      <c r="B133" s="77" t="n">
        <v>120.9</v>
      </c>
      <c r="C133" s="72" t="n">
        <f aca="false">B133/B121-1</f>
        <v>0.0422413793103449</v>
      </c>
      <c r="D133" s="2"/>
      <c r="E133" s="2"/>
      <c r="F133" s="2"/>
      <c r="G133" s="2"/>
    </row>
    <row r="134" customFormat="false" ht="15" hidden="false" customHeight="false" outlineLevel="0" collapsed="false">
      <c r="A134" s="96" t="n">
        <v>43678</v>
      </c>
      <c r="B134" s="77" t="n">
        <v>117.3</v>
      </c>
      <c r="C134" s="72" t="n">
        <f aca="false">B134/B122-1</f>
        <v>0.0120793787748057</v>
      </c>
      <c r="D134" s="2"/>
      <c r="E134" s="2"/>
      <c r="F134" s="2"/>
      <c r="G134" s="2"/>
    </row>
    <row r="135" customFormat="false" ht="15" hidden="false" customHeight="false" outlineLevel="0" collapsed="false">
      <c r="A135" s="96" t="n">
        <v>43709</v>
      </c>
      <c r="B135" s="77" t="n">
        <v>117.6</v>
      </c>
      <c r="C135" s="72" t="n">
        <f aca="false">B135/B123-1</f>
        <v>0.0129198966408268</v>
      </c>
      <c r="D135" s="2"/>
      <c r="E135" s="2"/>
      <c r="F135" s="2"/>
      <c r="G135" s="2"/>
    </row>
    <row r="136" customFormat="false" ht="15" hidden="false" customHeight="false" outlineLevel="0" collapsed="false">
      <c r="A136" s="96" t="n">
        <v>43739</v>
      </c>
      <c r="B136" s="77" t="n">
        <v>116.8</v>
      </c>
      <c r="C136" s="72" t="n">
        <f aca="false">B136/B124-1</f>
        <v>-0.00511073253833061</v>
      </c>
      <c r="D136" s="2"/>
      <c r="E136" s="2"/>
      <c r="F136" s="2"/>
      <c r="G136" s="2"/>
    </row>
    <row r="137" customFormat="false" ht="15" hidden="false" customHeight="false" outlineLevel="0" collapsed="false">
      <c r="A137" s="96" t="n">
        <v>43770</v>
      </c>
      <c r="B137" s="77" t="n">
        <v>122.2</v>
      </c>
      <c r="C137" s="72" t="n">
        <f aca="false">B137/B125-1</f>
        <v>0.0382327952421411</v>
      </c>
      <c r="D137" s="2"/>
      <c r="E137" s="2"/>
      <c r="F137" s="2"/>
      <c r="G137" s="2"/>
    </row>
    <row r="138" customFormat="false" ht="15" hidden="false" customHeight="false" outlineLevel="0" collapsed="false">
      <c r="A138" s="96" t="n">
        <v>43800</v>
      </c>
      <c r="B138" s="77" t="n">
        <v>123.6</v>
      </c>
      <c r="C138" s="72" t="n">
        <f aca="false">B138/B126-1</f>
        <v>0.0528109028960817</v>
      </c>
      <c r="D138" s="2"/>
      <c r="E138" s="2"/>
      <c r="F138" s="2"/>
      <c r="G138" s="2"/>
    </row>
    <row r="139" customFormat="false" ht="15" hidden="false" customHeight="false" outlineLevel="0" collapsed="false">
      <c r="A139" s="96" t="n">
        <v>43831</v>
      </c>
      <c r="B139" s="77" t="n">
        <v>123.7</v>
      </c>
      <c r="C139" s="72" t="n">
        <f aca="false">B139/B127-1</f>
        <v>0.0438818565400845</v>
      </c>
      <c r="D139" s="2"/>
      <c r="E139" s="2"/>
      <c r="F139" s="2"/>
      <c r="G139" s="2"/>
    </row>
    <row r="140" customFormat="false" ht="15" hidden="false" customHeight="false" outlineLevel="0" collapsed="false">
      <c r="A140" s="96" t="n">
        <v>43862</v>
      </c>
      <c r="B140" s="77" t="n">
        <v>117.2</v>
      </c>
      <c r="C140" s="72" t="n">
        <f aca="false">B140/B128-1</f>
        <v>-0.00846023688663278</v>
      </c>
      <c r="D140" s="2"/>
      <c r="E140" s="2"/>
      <c r="F140" s="2"/>
      <c r="G140" s="2"/>
    </row>
    <row r="141" customFormat="false" ht="15" hidden="false" customHeight="false" outlineLevel="0" collapsed="false">
      <c r="A141" s="96" t="n">
        <v>43891</v>
      </c>
      <c r="B141" s="77" t="n">
        <v>116.4</v>
      </c>
      <c r="C141" s="72" t="n">
        <f aca="false">B141/B129-1</f>
        <v>-0.0210260723296888</v>
      </c>
      <c r="D141" s="2"/>
      <c r="E141" s="2"/>
      <c r="F141" s="2"/>
      <c r="G141" s="2"/>
    </row>
    <row r="142" customFormat="false" ht="15" hidden="false" customHeight="false" outlineLevel="0" collapsed="false">
      <c r="A142" s="96" t="n">
        <v>43922</v>
      </c>
      <c r="B142" s="77" t="n">
        <v>110.5</v>
      </c>
      <c r="C142" s="72" t="n">
        <f aca="false">B142/B130-1</f>
        <v>-0.0737636211232188</v>
      </c>
      <c r="D142" s="2"/>
      <c r="E142" s="2"/>
      <c r="F142" s="2"/>
      <c r="G142" s="2"/>
    </row>
    <row r="143" customFormat="false" ht="15" hidden="false" customHeight="false" outlineLevel="0" collapsed="false">
      <c r="A143" s="96" t="n">
        <v>43952</v>
      </c>
      <c r="B143" s="77" t="n">
        <v>110.6</v>
      </c>
      <c r="C143" s="72" t="n">
        <f aca="false">B143/B131-1</f>
        <v>-0.0752508361204013</v>
      </c>
      <c r="D143" s="2"/>
      <c r="E143" s="2"/>
      <c r="F143" s="2"/>
      <c r="G143" s="2"/>
    </row>
    <row r="144" customFormat="false" ht="15" hidden="false" customHeight="false" outlineLevel="0" collapsed="false">
      <c r="A144" s="96" t="n">
        <v>43983</v>
      </c>
      <c r="B144" s="77" t="n">
        <v>110.9</v>
      </c>
      <c r="C144" s="72" t="n">
        <f aca="false">B144/B132-1</f>
        <v>-0.0704107292539815</v>
      </c>
      <c r="D144" s="2"/>
      <c r="E144" s="2"/>
      <c r="F144" s="2"/>
      <c r="G144" s="2"/>
    </row>
    <row r="145" customFormat="false" ht="15" hidden="false" customHeight="false" outlineLevel="0" collapsed="false">
      <c r="A145" s="96" t="n">
        <v>44013</v>
      </c>
      <c r="B145" s="77" t="n">
        <v>111.2</v>
      </c>
      <c r="C145" s="72" t="n">
        <f aca="false">B145/B133-1</f>
        <v>-0.0802315963606286</v>
      </c>
      <c r="D145" s="2"/>
      <c r="E145" s="2"/>
      <c r="F145" s="2"/>
      <c r="G145" s="2"/>
    </row>
    <row r="146" customFormat="false" ht="15" hidden="false" customHeight="false" outlineLevel="0" collapsed="false">
      <c r="A146" s="96" t="n">
        <v>44044</v>
      </c>
      <c r="B146" s="77" t="n">
        <v>111.3</v>
      </c>
      <c r="C146" s="72" t="n">
        <f aca="false">B146/B134-1</f>
        <v>-0.051150895140665</v>
      </c>
      <c r="D146" s="2"/>
      <c r="E146" s="2"/>
      <c r="F146" s="2"/>
      <c r="G146" s="2"/>
    </row>
    <row r="147" customFormat="false" ht="15" hidden="false" customHeight="false" outlineLevel="0" collapsed="false">
      <c r="A147" s="96" t="n">
        <v>44075</v>
      </c>
      <c r="B147" s="77" t="n">
        <v>111</v>
      </c>
      <c r="C147" s="72" t="n">
        <f aca="false">B147/B135-1</f>
        <v>-0.0561224489795918</v>
      </c>
      <c r="D147" s="2"/>
      <c r="E147" s="2"/>
      <c r="F147" s="2"/>
      <c r="G147" s="2"/>
    </row>
    <row r="148" customFormat="false" ht="15" hidden="false" customHeight="false" outlineLevel="0" collapsed="false">
      <c r="A148" s="96" t="n">
        <v>44105</v>
      </c>
      <c r="B148" s="77" t="n">
        <v>109.5</v>
      </c>
      <c r="C148" s="72" t="n">
        <f aca="false">B148/B136-1</f>
        <v>-0.0625</v>
      </c>
      <c r="D148" s="2"/>
      <c r="E148" s="2"/>
      <c r="F148" s="2"/>
      <c r="G148" s="2"/>
    </row>
    <row r="149" customFormat="false" ht="15" hidden="false" customHeight="false" outlineLevel="0" collapsed="false">
      <c r="A149" s="96" t="n">
        <v>44136</v>
      </c>
      <c r="B149" s="77" t="n">
        <v>108.3</v>
      </c>
      <c r="C149" s="72" t="n">
        <f aca="false">B149/B137-1</f>
        <v>-0.113747954173486</v>
      </c>
      <c r="D149" s="2"/>
      <c r="E149" s="2"/>
      <c r="F149" s="2"/>
      <c r="G149" s="2"/>
    </row>
    <row r="150" customFormat="false" ht="15" hidden="false" customHeight="false" outlineLevel="0" collapsed="false">
      <c r="A150" s="96" t="n">
        <v>44166</v>
      </c>
      <c r="B150" s="77" t="n">
        <v>109.4</v>
      </c>
      <c r="C150" s="72" t="n">
        <f aca="false">B150/B138-1</f>
        <v>-0.114886731391586</v>
      </c>
      <c r="D150" s="2"/>
      <c r="E150" s="2"/>
      <c r="F150" s="2"/>
      <c r="G150" s="2"/>
    </row>
    <row r="151" customFormat="false" ht="15" hidden="false" customHeight="false" outlineLevel="0" collapsed="false">
      <c r="A151" s="96" t="n">
        <v>44197</v>
      </c>
      <c r="B151" s="77" t="n">
        <v>110.3</v>
      </c>
      <c r="C151" s="72" t="n">
        <f aca="false">B151/B139-1</f>
        <v>-0.108326596604689</v>
      </c>
      <c r="D151" s="2"/>
      <c r="E151" s="2"/>
      <c r="F151" s="2"/>
      <c r="G151" s="2"/>
    </row>
    <row r="152" customFormat="false" ht="15" hidden="false" customHeight="false" outlineLevel="0" collapsed="false">
      <c r="A152" s="96" t="n">
        <v>44228</v>
      </c>
      <c r="B152" s="77" t="n">
        <v>113.4</v>
      </c>
      <c r="C152" s="72" t="n">
        <f aca="false">B152/B140-1</f>
        <v>-0.0324232081911262</v>
      </c>
      <c r="D152" s="2"/>
      <c r="E152" s="2"/>
      <c r="F152" s="2"/>
      <c r="G152" s="2"/>
    </row>
    <row r="153" customFormat="false" ht="15" hidden="false" customHeight="false" outlineLevel="0" collapsed="false">
      <c r="A153" s="96" t="n">
        <v>44256</v>
      </c>
      <c r="B153" s="77" t="n">
        <v>115.5</v>
      </c>
      <c r="C153" s="72" t="n">
        <f aca="false">B153/B141-1</f>
        <v>-0.00773195876288668</v>
      </c>
      <c r="D153" s="2"/>
      <c r="E153" s="2"/>
      <c r="F153" s="2"/>
      <c r="G153" s="2"/>
    </row>
    <row r="154" customFormat="false" ht="15" hidden="false" customHeight="false" outlineLevel="0" collapsed="false">
      <c r="A154" s="96" t="n">
        <v>44287</v>
      </c>
      <c r="B154" s="77" t="n">
        <v>119.2</v>
      </c>
      <c r="C154" s="72" t="n">
        <f aca="false">B154/B142-1</f>
        <v>0.0787330316742081</v>
      </c>
      <c r="D154" s="2"/>
      <c r="E154" s="2"/>
      <c r="F154" s="2"/>
      <c r="G154" s="2"/>
    </row>
    <row r="155" customFormat="false" ht="15" hidden="false" customHeight="false" outlineLevel="0" collapsed="false">
      <c r="A155" s="96" t="n">
        <v>44317</v>
      </c>
      <c r="B155" s="77" t="n">
        <v>124.4</v>
      </c>
      <c r="C155" s="72" t="n">
        <f aca="false">B155/B143-1</f>
        <v>0.124773960216998</v>
      </c>
      <c r="D155" s="2"/>
      <c r="E155" s="2"/>
      <c r="F155" s="2"/>
      <c r="G155" s="2"/>
    </row>
    <row r="156" customFormat="false" ht="15" hidden="false" customHeight="false" outlineLevel="0" collapsed="false">
      <c r="A156" s="96" t="n">
        <v>44348</v>
      </c>
      <c r="B156" s="77" t="n">
        <v>129.8</v>
      </c>
      <c r="C156" s="72" t="n">
        <f aca="false">B156/B144-1</f>
        <v>0.170423805229937</v>
      </c>
      <c r="D156" s="2"/>
      <c r="E156" s="2"/>
      <c r="F156" s="2"/>
      <c r="G156" s="2"/>
    </row>
    <row r="157" customFormat="false" ht="15" hidden="false" customHeight="false" outlineLevel="0" collapsed="false">
      <c r="A157" s="96" t="n">
        <v>44378</v>
      </c>
      <c r="B157" s="77" t="n">
        <v>131.104</v>
      </c>
      <c r="C157" s="72" t="n">
        <f aca="false">B157/B145-1</f>
        <v>0.178992805755396</v>
      </c>
      <c r="D157" s="2"/>
      <c r="E157" s="2"/>
      <c r="F157" s="2"/>
      <c r="G157" s="2"/>
    </row>
    <row r="158" customFormat="false" ht="15" hidden="false" customHeight="false" outlineLevel="0" collapsed="false">
      <c r="A158" s="96" t="n">
        <v>44409</v>
      </c>
      <c r="B158" s="77" t="n">
        <v>129.008</v>
      </c>
      <c r="C158" s="72" t="n">
        <f aca="false">B158/B146-1</f>
        <v>0.159101527403414</v>
      </c>
      <c r="D158" s="2"/>
      <c r="E158" s="2"/>
      <c r="F158" s="2"/>
      <c r="G158" s="2"/>
    </row>
    <row r="159" customFormat="false" ht="15" hidden="false" customHeight="false" outlineLevel="0" collapsed="false">
      <c r="A159" s="96" t="n">
        <v>44440</v>
      </c>
      <c r="B159" s="77" t="n">
        <v>133.644</v>
      </c>
      <c r="C159" s="72" t="n">
        <f aca="false">B159/B147-1</f>
        <v>0.204</v>
      </c>
      <c r="D159" s="2"/>
      <c r="E159" s="2"/>
      <c r="F159" s="2"/>
      <c r="G159" s="2"/>
    </row>
    <row r="160" customFormat="false" ht="15" hidden="false" customHeight="false" outlineLevel="0" collapsed="false">
      <c r="A160" s="96" t="n">
        <v>44470</v>
      </c>
      <c r="B160" s="77" t="n">
        <v>137.485</v>
      </c>
      <c r="C160" s="72" t="n">
        <f aca="false">B160/B148-1</f>
        <v>0.255570776255708</v>
      </c>
      <c r="D160" s="2"/>
      <c r="E160" s="2"/>
      <c r="F160" s="2"/>
      <c r="G160" s="2"/>
    </row>
    <row r="161" customFormat="false" ht="15" hidden="false" customHeight="false" outlineLevel="0" collapsed="false">
      <c r="A161" s="96" t="n">
        <v>44501</v>
      </c>
      <c r="B161" s="77" t="n">
        <v>136.167</v>
      </c>
      <c r="C161" s="72" t="n">
        <f aca="false">B161/B149-1</f>
        <v>0.257313019390582</v>
      </c>
      <c r="D161" s="2"/>
      <c r="E161" s="2"/>
      <c r="F161" s="2"/>
      <c r="G161" s="2"/>
    </row>
    <row r="162" customFormat="false" ht="15" hidden="false" customHeight="false" outlineLevel="0" collapsed="false">
      <c r="A162" s="96" t="n">
        <v>44531</v>
      </c>
      <c r="B162" s="77" t="n">
        <v>140.888</v>
      </c>
      <c r="C162" s="72" t="n">
        <f aca="false">B162/B150-1</f>
        <v>0.28782449725777</v>
      </c>
      <c r="D162" s="2"/>
      <c r="E162" s="2"/>
      <c r="F162" s="2"/>
      <c r="G162" s="2"/>
    </row>
    <row r="163" customFormat="false" ht="15" hidden="false" customHeight="false" outlineLevel="0" collapsed="false">
      <c r="A163" s="96" t="n">
        <v>44562</v>
      </c>
      <c r="B163" s="77" t="n">
        <v>141.408</v>
      </c>
      <c r="C163" s="72" t="n">
        <f aca="false">B163/B151-1</f>
        <v>0.282030825022665</v>
      </c>
      <c r="D163" s="2"/>
      <c r="E163" s="2"/>
      <c r="F163" s="2"/>
      <c r="G163" s="2"/>
    </row>
    <row r="164" customFormat="false" ht="15" hidden="false" customHeight="false" outlineLevel="0" collapsed="false">
      <c r="A164" s="96" t="n">
        <v>44593</v>
      </c>
      <c r="B164" s="77" t="n">
        <v>141.491</v>
      </c>
      <c r="C164" s="72" t="n">
        <f aca="false">B164/B152-1</f>
        <v>0.247716049382716</v>
      </c>
      <c r="D164" s="2"/>
      <c r="E164" s="2"/>
      <c r="F164" s="2"/>
      <c r="G164" s="2"/>
    </row>
    <row r="165" customFormat="false" ht="15" hidden="false" customHeight="false" outlineLevel="0" collapsed="false">
      <c r="A165" s="96" t="n">
        <v>44621</v>
      </c>
      <c r="B165" s="77" t="n">
        <v>137.335</v>
      </c>
      <c r="C165" s="72" t="n">
        <f aca="false">B165/B153-1</f>
        <v>0.189047619047619</v>
      </c>
      <c r="D165" s="2"/>
      <c r="E165" s="2"/>
      <c r="F165" s="2"/>
      <c r="G165" s="2"/>
    </row>
    <row r="166" customFormat="false" ht="15" hidden="false" customHeight="false" outlineLevel="0" collapsed="false">
      <c r="A166" s="96" t="n">
        <v>44652</v>
      </c>
      <c r="B166" s="77" t="n">
        <v>149.063</v>
      </c>
      <c r="C166" s="72" t="n">
        <f aca="false">B166/B154-1</f>
        <v>0.250528523489933</v>
      </c>
      <c r="D166" s="2"/>
      <c r="E166" s="2"/>
      <c r="F166" s="2"/>
      <c r="G166" s="2"/>
    </row>
    <row r="167" customFormat="false" ht="15" hidden="false" customHeight="false" outlineLevel="0" collapsed="false">
      <c r="A167" s="96" t="n">
        <v>44682</v>
      </c>
      <c r="B167" s="77" t="n">
        <v>168.566</v>
      </c>
      <c r="C167" s="72" t="n">
        <f aca="false">B167/B155-1</f>
        <v>0.355032154340836</v>
      </c>
      <c r="D167" s="2"/>
      <c r="E167" s="2"/>
      <c r="F167" s="2"/>
      <c r="G167" s="2"/>
    </row>
    <row r="168" customFormat="false" ht="15" hidden="false" customHeight="false" outlineLevel="0" collapsed="false">
      <c r="A168" s="96" t="n">
        <v>44713</v>
      </c>
      <c r="B168" s="77" t="n">
        <v>165.624</v>
      </c>
      <c r="C168" s="72" t="n">
        <f aca="false">B168/B156-1</f>
        <v>0.275993836671803</v>
      </c>
      <c r="D168" s="2"/>
      <c r="E168" s="2"/>
      <c r="F168" s="2"/>
      <c r="G168" s="2"/>
    </row>
    <row r="169" customFormat="false" ht="15" hidden="false" customHeight="false" outlineLevel="0" collapsed="false">
      <c r="A169" s="96" t="n">
        <v>44743</v>
      </c>
      <c r="B169" s="77" t="n">
        <v>171.366</v>
      </c>
      <c r="C169" s="72" t="n">
        <f aca="false">B169/B157-1</f>
        <v>0.307099707102758</v>
      </c>
      <c r="D169" s="2"/>
      <c r="E169" s="2"/>
      <c r="F169" s="2"/>
      <c r="G169" s="2"/>
    </row>
    <row r="170" customFormat="false" ht="15" hidden="false" customHeight="false" outlineLevel="0" collapsed="false">
      <c r="A170" s="96" t="n">
        <v>44774</v>
      </c>
      <c r="B170" s="77" t="n">
        <v>176.764</v>
      </c>
      <c r="C170" s="72" t="n">
        <f aca="false">B170/B158-1</f>
        <v>0.370178593575592</v>
      </c>
      <c r="D170" s="2"/>
      <c r="E170" s="2"/>
      <c r="F170" s="2"/>
      <c r="G170" s="2"/>
    </row>
    <row r="171" customFormat="false" ht="15" hidden="false" customHeight="false" outlineLevel="0" collapsed="false">
      <c r="A171" s="96" t="n">
        <v>44805</v>
      </c>
      <c r="B171" s="77" t="n">
        <v>180.363</v>
      </c>
      <c r="C171" s="72" t="n">
        <f aca="false">B171/B159-1</f>
        <v>0.349577983298913</v>
      </c>
      <c r="D171" s="2"/>
      <c r="E171" s="2"/>
      <c r="F171" s="2"/>
      <c r="G171" s="2"/>
    </row>
    <row r="172" customFormat="false" ht="15" hidden="false" customHeight="false" outlineLevel="0" collapsed="false">
      <c r="A172" s="96" t="n">
        <v>44835</v>
      </c>
      <c r="B172" s="77" t="n">
        <v>180.345</v>
      </c>
      <c r="C172" s="72" t="n">
        <f aca="false">B172/B160-1</f>
        <v>0.311743099247191</v>
      </c>
      <c r="D172" s="2"/>
      <c r="E172" s="2"/>
      <c r="F172" s="2"/>
      <c r="G172" s="2"/>
    </row>
    <row r="173" customFormat="false" ht="15" hidden="false" customHeight="false" outlineLevel="0" collapsed="false">
      <c r="A173" s="96" t="n">
        <v>44866</v>
      </c>
      <c r="B173" s="77" t="n">
        <v>177.954</v>
      </c>
      <c r="C173" s="72" t="n">
        <f aca="false">B173/B161-1</f>
        <v>0.306880521712309</v>
      </c>
      <c r="D173" s="2"/>
      <c r="E173" s="2"/>
      <c r="F173" s="2"/>
      <c r="G173" s="2"/>
    </row>
    <row r="174" customFormat="false" ht="15" hidden="false" customHeight="false" outlineLevel="0" collapsed="false">
      <c r="A174" s="96" t="n">
        <v>44896</v>
      </c>
      <c r="B174" s="77" t="n">
        <v>176.979</v>
      </c>
      <c r="C174" s="72" t="n">
        <f aca="false">B174/B162-1</f>
        <v>0.256168019987508</v>
      </c>
      <c r="D174" s="2"/>
      <c r="E174" s="2"/>
      <c r="F174" s="2"/>
      <c r="G174" s="2"/>
    </row>
    <row r="175" customFormat="false" ht="15" hidden="false" customHeight="false" outlineLevel="0" collapsed="false">
      <c r="A175" s="96" t="n">
        <v>44927</v>
      </c>
      <c r="B175" s="77" t="n">
        <v>166.91</v>
      </c>
      <c r="C175" s="72" t="n">
        <f aca="false">B175/B163-1</f>
        <v>0.180343403484951</v>
      </c>
      <c r="D175" s="2"/>
      <c r="E175" s="2"/>
      <c r="F175" s="2"/>
      <c r="G175" s="2"/>
    </row>
    <row r="176" customFormat="false" ht="15" hidden="false" customHeight="false" outlineLevel="0" collapsed="false">
      <c r="A176" s="96" t="n">
        <v>44958</v>
      </c>
      <c r="B176" s="77" t="n">
        <v>172.187</v>
      </c>
      <c r="C176" s="72" t="n">
        <f aca="false">B176/B164-1</f>
        <v>0.216946660918362</v>
      </c>
      <c r="D176" s="2"/>
      <c r="E176" s="2"/>
      <c r="F176" s="2"/>
      <c r="G176" s="2"/>
    </row>
    <row r="177" customFormat="false" ht="15" hidden="false" customHeight="false" outlineLevel="0" collapsed="false">
      <c r="A177" s="96" t="n">
        <v>44986</v>
      </c>
      <c r="B177" s="77" t="n">
        <v>155.405</v>
      </c>
      <c r="C177" s="72" t="n">
        <f aca="false">B177/B165-1</f>
        <v>0.131576073105909</v>
      </c>
      <c r="D177" s="2"/>
      <c r="E177" s="2"/>
      <c r="F177" s="2"/>
      <c r="G177" s="2"/>
    </row>
    <row r="178" customFormat="false" ht="15" hidden="false" customHeight="false" outlineLevel="0" collapsed="false">
      <c r="A178" s="96" t="n">
        <v>45017</v>
      </c>
      <c r="B178" s="77" t="n">
        <v>154.468</v>
      </c>
      <c r="C178" s="72" t="n">
        <f aca="false">B178/B166-1</f>
        <v>0.0362598364449931</v>
      </c>
      <c r="D178" s="2"/>
      <c r="E178" s="2"/>
      <c r="F178" s="2"/>
      <c r="G178" s="2"/>
    </row>
    <row r="179" customFormat="false" ht="15" hidden="false" customHeight="false" outlineLevel="0" collapsed="false">
      <c r="A179" s="96" t="n">
        <v>45047</v>
      </c>
      <c r="B179" s="77" t="n">
        <v>167.366</v>
      </c>
      <c r="C179" s="72" t="n">
        <f aca="false">B179/B167-1</f>
        <v>-0.00711887331964922</v>
      </c>
      <c r="D179" s="2"/>
      <c r="E179" s="2"/>
      <c r="F179" s="2"/>
      <c r="G179" s="2"/>
    </row>
    <row r="180" customFormat="false" ht="15" hidden="false" customHeight="false" outlineLevel="0" collapsed="false">
      <c r="A180" s="96" t="n">
        <v>45078</v>
      </c>
      <c r="B180" s="77" t="n">
        <v>158.652</v>
      </c>
      <c r="C180" s="72" t="n">
        <f aca="false">B180/B168-1</f>
        <v>-0.0420953485002175</v>
      </c>
      <c r="D180" s="2"/>
      <c r="E180" s="2"/>
      <c r="F180" s="2"/>
      <c r="G180" s="2"/>
    </row>
    <row r="181" customFormat="false" ht="15" hidden="false" customHeight="false" outlineLevel="0" collapsed="false">
      <c r="A181" s="96" t="n">
        <v>45108</v>
      </c>
      <c r="B181" s="77" t="n">
        <v>168.276</v>
      </c>
      <c r="C181" s="72" t="n">
        <f aca="false">B181/B169-1</f>
        <v>-0.0180315815272575</v>
      </c>
      <c r="D181" s="2"/>
      <c r="E181" s="2"/>
      <c r="F181" s="2"/>
      <c r="G181" s="2"/>
    </row>
    <row r="182" customFormat="false" ht="15" hidden="false" customHeight="false" outlineLevel="0" collapsed="false">
      <c r="A182" s="96" t="n">
        <v>45139</v>
      </c>
      <c r="B182" s="77" t="n">
        <v>174.404</v>
      </c>
      <c r="C182" s="72" t="n">
        <f aca="false">B182/B170-1</f>
        <v>-0.013351134846462</v>
      </c>
      <c r="D182" s="2"/>
      <c r="E182" s="2"/>
      <c r="F182" s="2"/>
      <c r="G182" s="2"/>
    </row>
    <row r="183" customFormat="false" ht="15" hidden="false" customHeight="false" outlineLevel="0" collapsed="false">
      <c r="A183" s="96" t="n">
        <v>45170</v>
      </c>
      <c r="B183" s="77" t="n">
        <v>166.635</v>
      </c>
      <c r="C183" s="72" t="n">
        <f aca="false">B183/B171-1</f>
        <v>-0.0761131717702633</v>
      </c>
      <c r="D183" s="2"/>
      <c r="E183" s="2"/>
      <c r="F183" s="2"/>
      <c r="G183" s="2"/>
    </row>
    <row r="184" customFormat="false" ht="15" hidden="false" customHeight="false" outlineLevel="0" collapsed="false">
      <c r="A184" s="96" t="n">
        <v>45200</v>
      </c>
      <c r="B184" s="77" t="n">
        <v>157.541</v>
      </c>
      <c r="C184" s="72" t="n">
        <f aca="false">B184/B172-1</f>
        <v>-0.126446533033907</v>
      </c>
      <c r="D184" s="2"/>
      <c r="E184" s="2"/>
      <c r="F184" s="2"/>
      <c r="G184" s="2"/>
    </row>
    <row r="185" customFormat="false" ht="15" hidden="false" customHeight="false" outlineLevel="0" collapsed="false">
      <c r="A185" s="96" t="n">
        <v>45231</v>
      </c>
      <c r="B185" s="77" t="n">
        <v>152.65</v>
      </c>
      <c r="C185" s="72" t="n">
        <f aca="false">B185/B173-1</f>
        <v>-0.142194050147791</v>
      </c>
      <c r="D185" s="2"/>
      <c r="E185" s="2"/>
      <c r="F185" s="2"/>
      <c r="G185" s="2"/>
    </row>
    <row r="186" customFormat="false" ht="15" hidden="false" customHeight="false" outlineLevel="0" collapsed="false">
      <c r="A186" s="96" t="n">
        <v>45261</v>
      </c>
      <c r="B186" s="77" t="n">
        <v>157.355</v>
      </c>
      <c r="C186" s="72" t="n">
        <f aca="false">B186/B174-1</f>
        <v>-0.110883212132513</v>
      </c>
      <c r="D186" s="2"/>
      <c r="E186" s="2"/>
      <c r="F186" s="2"/>
      <c r="G186" s="2"/>
    </row>
    <row r="187" customFormat="false" ht="15" hidden="false" customHeight="false" outlineLevel="0" collapsed="false">
      <c r="A187" s="96" t="n">
        <v>45292</v>
      </c>
      <c r="B187" s="77" t="n">
        <v>161.886</v>
      </c>
      <c r="C187" s="72" t="n">
        <f aca="false">B187/B175-1</f>
        <v>-0.0301000539212749</v>
      </c>
      <c r="D187" s="2"/>
      <c r="E187" s="2"/>
      <c r="F187" s="2"/>
      <c r="G187" s="2"/>
    </row>
    <row r="188" customFormat="false" ht="15" hidden="false" customHeight="false" outlineLevel="0" collapsed="false">
      <c r="A188" s="96" t="n">
        <v>45323</v>
      </c>
      <c r="B188" s="77" t="n">
        <v>158.032</v>
      </c>
      <c r="C188" s="72" t="n">
        <f aca="false">B188/B176-1</f>
        <v>-0.0822071352657285</v>
      </c>
      <c r="D188" s="2"/>
      <c r="E188" s="2"/>
      <c r="F188" s="2"/>
      <c r="G188" s="2"/>
    </row>
    <row r="189" customFormat="false" ht="15" hidden="false" customHeight="false" outlineLevel="0" collapsed="false">
      <c r="A189" s="96" t="n">
        <v>45352</v>
      </c>
      <c r="B189" s="77" t="n">
        <v>153.514</v>
      </c>
      <c r="C189" s="72" t="n">
        <f aca="false">B189/B177-1</f>
        <v>-0.0121682056561886</v>
      </c>
      <c r="D189" s="2"/>
      <c r="E189" s="2"/>
      <c r="F189" s="2"/>
      <c r="G189" s="2"/>
    </row>
    <row r="190" customFormat="false" ht="15" hidden="false" customHeight="false" outlineLevel="0" collapsed="false">
      <c r="A190" s="96" t="n">
        <v>45383</v>
      </c>
      <c r="B190" s="77" t="n">
        <v>154.377</v>
      </c>
      <c r="C190" s="72" t="n">
        <f aca="false">B190/B178-1</f>
        <v>-0.000589118781883502</v>
      </c>
      <c r="D190" s="2"/>
      <c r="E190" s="2"/>
      <c r="F190" s="2"/>
      <c r="G190" s="2"/>
    </row>
    <row r="191" customFormat="false" ht="15" hidden="false" customHeight="false" outlineLevel="0" collapsed="false">
      <c r="A191" s="96" t="n">
        <v>45413</v>
      </c>
      <c r="B191" s="77" t="n">
        <v>159.711</v>
      </c>
      <c r="C191" s="72" t="n">
        <f aca="false">B191/B179-1</f>
        <v>-0.0457380830037164</v>
      </c>
      <c r="D191" s="2"/>
      <c r="E191" s="2"/>
      <c r="F191" s="2"/>
      <c r="G191" s="2"/>
    </row>
    <row r="192" customFormat="false" ht="15" hidden="false" customHeight="false" outlineLevel="0" collapsed="false">
      <c r="A192" s="96" t="n">
        <v>45444</v>
      </c>
      <c r="B192" s="77" t="n">
        <v>167.463</v>
      </c>
      <c r="C192" s="72" t="n">
        <f aca="false">B192/B180-1</f>
        <v>0.055536646244611</v>
      </c>
      <c r="D192" s="2"/>
      <c r="E192" s="2"/>
      <c r="F192" s="2"/>
      <c r="G192" s="2"/>
    </row>
    <row r="193" customFormat="false" ht="15" hidden="false" customHeight="false" outlineLevel="0" collapsed="false">
      <c r="A193" s="96" t="n">
        <v>45474</v>
      </c>
      <c r="B193" s="77" t="n">
        <v>169.387</v>
      </c>
      <c r="C193" s="72" t="n">
        <f aca="false">B193/B181-1</f>
        <v>0.00660224868668125</v>
      </c>
      <c r="D193" s="2"/>
      <c r="E193" s="2"/>
      <c r="F193" s="2"/>
      <c r="G193" s="2"/>
    </row>
    <row r="194" customFormat="false" ht="15" hidden="false" customHeight="false" outlineLevel="0" collapsed="false">
      <c r="A194" s="96" t="n">
        <v>45505</v>
      </c>
      <c r="B194" s="77" t="n">
        <v>166.698</v>
      </c>
      <c r="C194" s="72" t="n">
        <f aca="false">B194/B182-1</f>
        <v>-0.0441847664044402</v>
      </c>
      <c r="D194" s="2"/>
      <c r="E194" s="2"/>
      <c r="F194" s="2"/>
      <c r="G194" s="2"/>
    </row>
    <row r="195" customFormat="false" ht="15" hidden="false" customHeight="false" outlineLevel="0" collapsed="false">
      <c r="A195" s="96" t="n">
        <v>45536</v>
      </c>
      <c r="B195" s="77" t="n">
        <v>159.607</v>
      </c>
      <c r="C195" s="72" t="n">
        <f aca="false">B195/B183-1</f>
        <v>-0.0421760134425541</v>
      </c>
      <c r="D195" s="2"/>
      <c r="E195" s="2"/>
      <c r="F195" s="2"/>
      <c r="G195" s="2"/>
    </row>
    <row r="196" customFormat="false" ht="15" hidden="false" customHeight="false" outlineLevel="0" collapsed="false">
      <c r="A196" s="96" t="n">
        <v>45566</v>
      </c>
      <c r="B196" s="77" t="n">
        <v>157.761</v>
      </c>
      <c r="C196" s="72" t="n">
        <f aca="false">B196/B184-1</f>
        <v>0.00139646187341702</v>
      </c>
      <c r="D196" s="2"/>
      <c r="E196" s="2"/>
      <c r="F196" s="2"/>
      <c r="G196" s="2"/>
    </row>
    <row r="197" customFormat="false" ht="15" hidden="false" customHeight="false" outlineLevel="0" collapsed="false">
      <c r="A197" s="96" t="n">
        <v>45597</v>
      </c>
      <c r="B197" s="77" t="n">
        <v>152.784</v>
      </c>
      <c r="C197" s="72" t="n">
        <f aca="false">B197/B185-1</f>
        <v>0.000877825090075168</v>
      </c>
      <c r="D197" s="2"/>
      <c r="E197" s="2"/>
      <c r="F197" s="2"/>
      <c r="G197" s="2"/>
    </row>
    <row r="198" customFormat="false" ht="15" hidden="false" customHeight="false" outlineLevel="0" collapsed="false">
      <c r="A198" s="96" t="n">
        <v>45627</v>
      </c>
      <c r="B198" s="77" t="n">
        <v>151.867</v>
      </c>
      <c r="C198" s="72" t="n">
        <f aca="false">B198/B186-1</f>
        <v>-0.0348765530170633</v>
      </c>
      <c r="D198" s="2"/>
      <c r="E198" s="2"/>
      <c r="F198" s="2"/>
      <c r="G198" s="2"/>
    </row>
    <row r="199" customFormat="false" ht="15" hidden="false" customHeight="false" outlineLevel="0" collapsed="false">
      <c r="A199" s="96" t="n">
        <v>45658</v>
      </c>
      <c r="B199" s="77" t="n">
        <v>165.062</v>
      </c>
      <c r="C199" s="72" t="n">
        <f aca="false">B199/B187-1</f>
        <v>0.0196187440544582</v>
      </c>
      <c r="D199" s="2"/>
      <c r="E199" s="2"/>
      <c r="F199" s="2"/>
      <c r="G199" s="2"/>
    </row>
    <row r="200" customFormat="false" ht="15" hidden="false" customHeight="false" outlineLevel="0" collapsed="false">
      <c r="A200" s="96" t="n">
        <v>45689</v>
      </c>
      <c r="B200" s="77" t="n">
        <v>168.592</v>
      </c>
      <c r="C200" s="72" t="n">
        <f aca="false">B200/B188-1</f>
        <v>0.0668219094866862</v>
      </c>
      <c r="D200" s="2"/>
      <c r="E200" s="2"/>
      <c r="F200" s="2"/>
      <c r="G200" s="2"/>
    </row>
    <row r="201" customFormat="false" ht="15" hidden="false" customHeight="false" outlineLevel="0" collapsed="false">
      <c r="A201" s="96" t="n">
        <v>45717</v>
      </c>
      <c r="B201" s="77" t="n">
        <v>160.206</v>
      </c>
      <c r="C201" s="72" t="n">
        <f aca="false">B201/B189-1</f>
        <v>0.0435921153770991</v>
      </c>
      <c r="D201" s="2"/>
      <c r="E201" s="2"/>
      <c r="F201" s="2"/>
      <c r="G201" s="2"/>
    </row>
    <row r="202" customFormat="false" ht="15" hidden="false" customHeight="false" outlineLevel="0" collapsed="false">
      <c r="A202" s="96" t="n">
        <v>45748</v>
      </c>
      <c r="B202" s="77" t="n">
        <v>158.089</v>
      </c>
      <c r="C202" s="72" t="n">
        <f aca="false">B202/B190-1</f>
        <v>0.0240450326149619</v>
      </c>
      <c r="D202" s="2"/>
      <c r="E202" s="2"/>
      <c r="F202" s="2"/>
      <c r="G202" s="2"/>
    </row>
    <row r="203" customFormat="false" ht="15" hidden="false" customHeight="false" outlineLevel="0" collapsed="false">
      <c r="A203" s="96" t="n">
        <v>45778</v>
      </c>
      <c r="B203" s="77" t="n">
        <v>153.921</v>
      </c>
      <c r="C203" s="72" t="n">
        <f aca="false">B203/B191-1</f>
        <v>-0.0362529819486449</v>
      </c>
      <c r="D203" s="2"/>
      <c r="E203" s="2"/>
      <c r="F203" s="2"/>
      <c r="G203" s="2"/>
    </row>
    <row r="204" customFormat="false" ht="15" hidden="false" customHeight="false" outlineLevel="0" collapsed="false">
      <c r="A204" s="96" t="n">
        <v>45809</v>
      </c>
      <c r="B204" s="77" t="n">
        <v>155.941</v>
      </c>
      <c r="C204" s="72" t="n">
        <f aca="false">B204/B192-1</f>
        <v>-0.0688032580331177</v>
      </c>
      <c r="D204" s="2"/>
      <c r="E204" s="2"/>
      <c r="F204" s="2"/>
      <c r="G204" s="2"/>
    </row>
    <row r="205" customFormat="false" ht="15" hidden="false" customHeight="false" outlineLevel="0" collapsed="false">
      <c r="A205" s="96" t="n">
        <v>45839</v>
      </c>
      <c r="B205" s="77" t="n">
        <v>151.255</v>
      </c>
      <c r="C205" s="72" t="n">
        <f aca="false">B205/B193-1</f>
        <v>-0.107044814537125</v>
      </c>
      <c r="D205" s="2"/>
      <c r="E205" s="2"/>
      <c r="F205" s="2"/>
      <c r="G205" s="2"/>
    </row>
    <row r="206" customFormat="false" ht="15" hidden="false" customHeight="false" outlineLevel="0" collapsed="false">
      <c r="A206" s="96" t="n">
        <v>45870</v>
      </c>
      <c r="B206" s="77" t="n">
        <v>151.341</v>
      </c>
      <c r="C206" s="72" t="n">
        <f aca="false">B206/B194-1</f>
        <v>-0.0921246805600547</v>
      </c>
      <c r="D206" s="2"/>
      <c r="E206" s="2"/>
      <c r="F206" s="2"/>
      <c r="G206" s="2"/>
    </row>
    <row r="207" customFormat="false" ht="15" hidden="false" customHeight="false" outlineLevel="0" collapsed="false">
      <c r="A207" s="96" t="n">
        <v>45901</v>
      </c>
      <c r="B207" s="77" t="n">
        <v>150.618</v>
      </c>
      <c r="C207" s="72" t="n">
        <f aca="false">B207/B195-1</f>
        <v>-0.0563195849806086</v>
      </c>
      <c r="D207" s="2"/>
      <c r="E207" s="2"/>
      <c r="F207" s="2"/>
      <c r="G207" s="2"/>
    </row>
    <row r="208" customFormat="false" ht="15" hidden="false" customHeight="false" outlineLevel="0" collapsed="false">
      <c r="A208" s="96" t="n">
        <v>45931</v>
      </c>
      <c r="B208" s="77" t="n">
        <v>162.078</v>
      </c>
      <c r="C208" s="72" t="n">
        <f aca="false">B208/B196-1</f>
        <v>0.0273641774583073</v>
      </c>
      <c r="D208" s="2"/>
      <c r="E208" s="2"/>
      <c r="F208" s="2"/>
      <c r="G208" s="2"/>
    </row>
    <row r="209" customFormat="false" ht="15" hidden="false" customHeight="false" outlineLevel="0" collapsed="false">
      <c r="A209" s="96" t="n">
        <v>45962</v>
      </c>
      <c r="B209" s="77" t="n">
        <v>155.155</v>
      </c>
      <c r="C209" s="72" t="n">
        <f aca="false">B209/B197-1</f>
        <v>0.0155186406953609</v>
      </c>
      <c r="D209" s="2"/>
      <c r="E209" s="2"/>
      <c r="F209" s="2"/>
      <c r="G209" s="2"/>
    </row>
    <row r="210" customFormat="false" ht="15" hidden="false" customHeight="false" outlineLevel="0" collapsed="false">
      <c r="A210" s="96" t="n">
        <v>45992</v>
      </c>
      <c r="B210" s="77" t="n">
        <v>160</v>
      </c>
      <c r="C210" s="72" t="n">
        <f aca="false">B210/B198-1</f>
        <v>0.0535534382057985</v>
      </c>
      <c r="D210" s="2"/>
      <c r="E210" s="2"/>
      <c r="F210" s="2"/>
      <c r="G210" s="2"/>
    </row>
    <row r="211" customFormat="false" ht="15" hidden="false" customHeight="false" outlineLevel="0" collapsed="false">
      <c r="A211" s="96" t="n">
        <v>46023</v>
      </c>
      <c r="B211" s="77" t="n">
        <v>171.547</v>
      </c>
      <c r="C211" s="72" t="n">
        <f aca="false">B211/B199-1</f>
        <v>0.0392882674389017</v>
      </c>
      <c r="D211" s="2"/>
      <c r="E211" s="2"/>
      <c r="F211" s="2"/>
      <c r="G211" s="2"/>
    </row>
    <row r="212" customFormat="false" ht="15" hidden="false" customHeight="false" outlineLevel="0" collapsed="false">
      <c r="A212" s="96" t="n">
        <v>46054</v>
      </c>
      <c r="B212" s="77" t="n">
        <v>170.213</v>
      </c>
      <c r="C212" s="72" t="n">
        <f aca="false">B212/B200-1</f>
        <v>0.00961492834772693</v>
      </c>
      <c r="D212" s="2"/>
      <c r="E212" s="2"/>
      <c r="F212" s="2"/>
      <c r="G212" s="2"/>
    </row>
    <row r="213" customFormat="false" ht="15" hidden="false" customHeight="false" outlineLevel="0" collapsed="false">
      <c r="A213" s="96" t="n">
        <v>46082</v>
      </c>
      <c r="B213" s="77" t="n">
        <v>168.47</v>
      </c>
      <c r="C213" s="72" t="n">
        <f aca="false">B213/B201-1</f>
        <v>0.051583586132854</v>
      </c>
      <c r="D213" s="2"/>
      <c r="E213" s="2"/>
      <c r="F213" s="2"/>
      <c r="G213" s="2"/>
    </row>
    <row r="214" customFormat="false" ht="15" hidden="false" customHeight="false" outlineLevel="0" collapsed="false">
      <c r="A214" s="96" t="n">
        <v>46113</v>
      </c>
      <c r="B214" s="77" t="n">
        <v>171.037</v>
      </c>
      <c r="C214" s="72" t="n">
        <f aca="false">B214/B202-1</f>
        <v>0.0819032317239024</v>
      </c>
      <c r="D214" s="2"/>
      <c r="E214" s="2"/>
      <c r="F214" s="2"/>
      <c r="G214" s="2"/>
    </row>
    <row r="215" customFormat="false" ht="15" hidden="false" customHeight="false" outlineLevel="0" collapsed="false">
      <c r="A215" s="96" t="n">
        <v>46143</v>
      </c>
      <c r="B215" s="77" t="n">
        <v>175.846</v>
      </c>
      <c r="C215" s="72" t="n">
        <f aca="false">B215/B203-1</f>
        <v>0.142443201382527</v>
      </c>
      <c r="D215" s="2"/>
      <c r="E215" s="2"/>
      <c r="F215" s="2"/>
      <c r="G215" s="2"/>
    </row>
    <row r="216" customFormat="false" ht="15" hidden="false" customHeight="false" outlineLevel="0" collapsed="false">
      <c r="A216" s="96" t="n">
        <v>46174</v>
      </c>
      <c r="B216" s="77" t="n">
        <v>176.98</v>
      </c>
      <c r="C216" s="72" t="n">
        <f aca="false">B216/B204-1</f>
        <v>0.134916410693788</v>
      </c>
      <c r="D216" s="2"/>
      <c r="E216" s="2"/>
      <c r="F216" s="2"/>
      <c r="G216" s="2"/>
    </row>
  </sheetData>
  <mergeCells count="1">
    <mergeCell ref="E13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2026-09-17T18:17:42Z</dcterms:created>
  <dc:creator>openpyxl</dc:creator>
  <dc:description/>
  <dc:language>en-US</dc:language>
  <cp:lastModifiedBy/>
  <dcterms:modified xsi:type="dcterms:W3CDTF">2026-09-17T13:17:46Z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